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"/>
    </mc:Choice>
  </mc:AlternateContent>
  <xr:revisionPtr revIDLastSave="0" documentId="13_ncr:1_{988F0399-5CC4-2B4D-97AA-1804DD16D684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0240" yWindow="-8540" windowWidth="40960" windowHeight="22420" activeTab="1" xr2:uid="{120721F8-4A5E-F94D-900E-49E7D505C1D9}"/>
  </bookViews>
  <sheets>
    <sheet name="Week 1" sheetId="11" r:id="rId1"/>
    <sheet name="Week 2" sheetId="21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I6" i="21" l="1" a="1"/>
  <c r="AI6" i="21" s="1"/>
  <c r="AI7" i="21" a="1"/>
  <c r="AI7" i="21" s="1"/>
  <c r="AI8" i="21" a="1"/>
  <c r="AI8" i="21" s="1"/>
  <c r="AI9" i="21" a="1"/>
  <c r="AI9" i="21" s="1"/>
  <c r="AI10" i="21" a="1"/>
  <c r="AI10" i="21" s="1"/>
  <c r="AI11" i="21" a="1"/>
  <c r="AI11" i="21" s="1"/>
  <c r="AI6" i="11" a="1"/>
  <c r="AI6" i="11"/>
  <c r="W17" i="11" s="1"/>
  <c r="AI7" i="11" a="1"/>
  <c r="AI7" i="11" s="1"/>
  <c r="W18" i="11" s="1"/>
  <c r="AI8" i="11" a="1"/>
  <c r="AI8" i="11" s="1"/>
  <c r="W19" i="11" s="1"/>
  <c r="AI9" i="11" a="1"/>
  <c r="AI9" i="11" s="1"/>
  <c r="W20" i="11" s="1"/>
  <c r="AI10" i="11" a="1"/>
  <c r="AI10" i="11" s="1"/>
  <c r="W21" i="11" s="1"/>
  <c r="AI11" i="11" a="1"/>
  <c r="AI11" i="11" s="1"/>
  <c r="W22" i="11" s="1"/>
  <c r="W17" i="21" a="1"/>
  <c r="W17" i="21" s="1"/>
  <c r="W18" i="21" a="1"/>
  <c r="W18" i="21"/>
  <c r="W19" i="21" a="1"/>
  <c r="W19" i="21"/>
  <c r="W20" i="21" a="1"/>
  <c r="W20" i="21"/>
  <c r="W21" i="21" a="1"/>
  <c r="W21" i="21"/>
  <c r="W22" i="21" a="1"/>
  <c r="W22" i="21" s="1"/>
  <c r="W16" i="11"/>
  <c r="AI5" i="11" a="1"/>
  <c r="AI5" i="11" s="1"/>
  <c r="W16" i="21" l="1" a="1"/>
  <c r="W16" i="21" s="1"/>
  <c r="AI5" i="21" l="1" a="1"/>
  <c r="AI5" i="21" s="1"/>
  <c r="AK11" i="11" l="1" a="1"/>
  <c r="AK11" i="11" s="1"/>
  <c r="AK11" i="21" a="1"/>
  <c r="AK11" i="21" s="1"/>
  <c r="AJ2" i="21" l="1"/>
  <c r="M2" i="21"/>
  <c r="AK13" i="11" a="1"/>
  <c r="AK13" i="11" s="1"/>
  <c r="AK13" i="21" a="1"/>
  <c r="AK13" i="21" s="1"/>
  <c r="AK12" i="21"/>
  <c r="AK12" i="11"/>
  <c r="AG13" i="21"/>
  <c r="AE13" i="21"/>
  <c r="AC13" i="21"/>
  <c r="AA13" i="21"/>
  <c r="Y13" i="21"/>
  <c r="W13" i="21"/>
  <c r="U13" i="21"/>
  <c r="S13" i="21"/>
  <c r="Q13" i="21"/>
  <c r="O13" i="21"/>
  <c r="M13" i="21"/>
  <c r="K13" i="21"/>
  <c r="I13" i="21"/>
  <c r="G13" i="21"/>
  <c r="E13" i="21"/>
  <c r="C13" i="21"/>
  <c r="AG12" i="21"/>
  <c r="AE12" i="21"/>
  <c r="AC12" i="21"/>
  <c r="AA12" i="21"/>
  <c r="Y12" i="21"/>
  <c r="W12" i="21"/>
  <c r="U12" i="21"/>
  <c r="S12" i="21"/>
  <c r="Q12" i="21"/>
  <c r="O12" i="21"/>
  <c r="M12" i="21"/>
  <c r="K12" i="21"/>
  <c r="I12" i="21"/>
  <c r="G12" i="21"/>
  <c r="E12" i="21"/>
  <c r="C12" i="21"/>
  <c r="E12" i="11"/>
  <c r="G12" i="11"/>
  <c r="I12" i="11"/>
  <c r="K12" i="11"/>
  <c r="M12" i="11"/>
  <c r="O12" i="11"/>
  <c r="Q12" i="11"/>
  <c r="S12" i="11"/>
  <c r="U12" i="11"/>
  <c r="W12" i="11"/>
  <c r="Y12" i="11"/>
  <c r="AA12" i="11"/>
  <c r="AC12" i="11"/>
  <c r="AE12" i="11"/>
  <c r="AG12" i="11"/>
  <c r="C12" i="11"/>
  <c r="AI12" i="21" l="1" a="1"/>
  <c r="AI12" i="21" s="1"/>
  <c r="AI13" i="21"/>
  <c r="AK24" i="21"/>
  <c r="AK6" i="21" a="1"/>
  <c r="AK6" i="21" s="1"/>
  <c r="AK6" i="11" a="1"/>
  <c r="AK6" i="11" s="1"/>
  <c r="AK9" i="11" a="1"/>
  <c r="AK9" i="11" s="1"/>
  <c r="AK9" i="21" a="1"/>
  <c r="AK9" i="21" s="1"/>
  <c r="AI12" i="11" a="1"/>
  <c r="AI12" i="11" s="1"/>
  <c r="AK23" i="21"/>
  <c r="AK25" i="21"/>
  <c r="C23" i="11"/>
  <c r="E13" i="11"/>
  <c r="G13" i="11"/>
  <c r="I13" i="11"/>
  <c r="K13" i="11"/>
  <c r="M13" i="11"/>
  <c r="O13" i="11"/>
  <c r="Q13" i="11"/>
  <c r="S13" i="11"/>
  <c r="U13" i="11"/>
  <c r="W13" i="11"/>
  <c r="Y13" i="11"/>
  <c r="AA13" i="11"/>
  <c r="AC13" i="11"/>
  <c r="AE13" i="11"/>
  <c r="AG13" i="11"/>
  <c r="C13" i="11"/>
  <c r="AK21" i="21" l="1"/>
  <c r="AK18" i="21" a="1"/>
  <c r="AK18" i="21" s="1"/>
  <c r="C23" i="21"/>
  <c r="Y17" i="11"/>
  <c r="Y18" i="11"/>
  <c r="B15" i="11"/>
  <c r="B5" i="11"/>
  <c r="U23" i="11"/>
  <c r="S23" i="11"/>
  <c r="Q23" i="11"/>
  <c r="O23" i="11"/>
  <c r="M23" i="11"/>
  <c r="K23" i="11"/>
  <c r="I23" i="11"/>
  <c r="G23" i="11"/>
  <c r="E23" i="11"/>
  <c r="U23" i="21"/>
  <c r="S23" i="21"/>
  <c r="Q23" i="21"/>
  <c r="O23" i="21"/>
  <c r="M23" i="21"/>
  <c r="K23" i="21"/>
  <c r="I23" i="21"/>
  <c r="G23" i="21"/>
  <c r="E23" i="21"/>
  <c r="Y22" i="21"/>
  <c r="Y21" i="21"/>
  <c r="Y20" i="21"/>
  <c r="Y19" i="21"/>
  <c r="Y18" i="21"/>
  <c r="Y17" i="21"/>
  <c r="Y19" i="11"/>
  <c r="Y20" i="11"/>
  <c r="Y21" i="11"/>
  <c r="AJ3" i="21"/>
  <c r="Y16" i="21" l="1"/>
  <c r="AK8" i="21" s="1"/>
  <c r="AK7" i="21"/>
  <c r="B6" i="11"/>
  <c r="B17" i="11" s="1"/>
  <c r="B16" i="11"/>
  <c r="B7" i="11"/>
  <c r="B18" i="11" s="1"/>
  <c r="B8" i="11"/>
  <c r="Y16" i="11"/>
  <c r="Y22" i="11"/>
  <c r="AK10" i="21"/>
  <c r="AI13" i="11"/>
  <c r="AK10" i="11" s="1"/>
  <c r="B19" i="11" l="1"/>
  <c r="B9" i="11"/>
  <c r="AK22" i="21"/>
  <c r="Y23" i="11"/>
  <c r="AK8" i="11"/>
  <c r="AK20" i="21" s="1"/>
  <c r="W23" i="11"/>
  <c r="AK7" i="11"/>
  <c r="AK19" i="21" s="1"/>
  <c r="B10" i="11" l="1"/>
  <c r="B20" i="11"/>
  <c r="B21" i="11" l="1"/>
  <c r="B11" i="11"/>
  <c r="B4" i="21" l="1"/>
  <c r="B22" i="11"/>
  <c r="B5" i="21" l="1"/>
  <c r="B15" i="21"/>
  <c r="Y23" i="21"/>
  <c r="W23" i="21"/>
  <c r="B16" i="21" l="1"/>
  <c r="B6" i="21"/>
  <c r="B17" i="21" l="1"/>
  <c r="B7" i="21"/>
  <c r="B18" i="21" l="1"/>
  <c r="B8" i="21"/>
  <c r="B19" i="21" l="1"/>
  <c r="B9" i="21"/>
  <c r="B20" i="21" l="1"/>
  <c r="B10" i="21"/>
  <c r="B11" i="21" l="1"/>
  <c r="B22" i="21" s="1"/>
  <c r="B21" i="2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<sst xmlns="http://schemas.openxmlformats.org/spreadsheetml/2006/main" count="207" uniqueCount="44">
  <si>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</si>
  <si>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</si>
  <si>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</si>
  <si>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 xml:space="preserve">Date:                            </t>
  </si>
  <si>
    <t>Labour Codes:</t>
  </si>
  <si>
    <t>Shift Hours</t>
  </si>
  <si>
    <t>Week #1</t>
  </si>
  <si>
    <t>Sun</t>
  </si>
  <si>
    <t>Office Use Only</t>
  </si>
  <si>
    <t>Mon</t>
  </si>
  <si>
    <t>Tues</t>
  </si>
  <si>
    <t>Regular Time:</t>
  </si>
  <si>
    <t>Wed</t>
  </si>
  <si>
    <t>OT:</t>
  </si>
  <si>
    <t>Thurs</t>
  </si>
  <si>
    <t>DT:</t>
  </si>
  <si>
    <t>Fri</t>
  </si>
  <si>
    <t>NS:</t>
  </si>
  <si>
    <t>Sat</t>
  </si>
  <si>
    <t>TOTAL REGULAR</t>
  </si>
  <si>
    <t>TOTAL NIGHT</t>
  </si>
  <si>
    <t>Overtime &amp; Double-Time</t>
  </si>
  <si>
    <t>Overtime</t>
  </si>
  <si>
    <t>Double-Time</t>
  </si>
  <si>
    <t>Approved by:</t>
  </si>
  <si>
    <t xml:space="preserve">Note: </t>
  </si>
  <si>
    <t xml:space="preserve">* All overtime must be approved by the Project Manager. </t>
  </si>
  <si>
    <t>Week #2</t>
  </si>
  <si>
    <t>YEAR</t>
  </si>
  <si>
    <t>Job: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</si>
  <si>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</si>
  <si>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</si>
  <si>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</si>
  <si>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On Call:</t>
  </si>
  <si>
    <t>TOTAL OVERTIME</t>
  </si>
  <si>
    <t xml:space="preserve">Sun Date Start:                            </t>
  </si>
  <si>
    <t># of On Call</t>
  </si>
  <si>
    <t>* Examples: 1PM-930PM (8 hours NIGHT shift).    5AM-130PM (8 hours DAY shift)</t>
  </si>
  <si>
    <r>
      <rPr>
        <b/>
        <sz val="10"/>
        <rFont val="Arial"/>
        <family val="2"/>
      </rPr>
      <t>Work Orders</t>
    </r>
    <r>
      <rPr>
        <sz val="10"/>
        <rFont val="Arial"/>
        <family val="2"/>
      </rPr>
      <t xml:space="preserve"> start with </t>
    </r>
    <r>
      <rPr>
        <b/>
        <sz val="10"/>
        <rFont val="Arial"/>
        <family val="2"/>
      </rPr>
      <t xml:space="preserve">Number 2 </t>
    </r>
    <r>
      <rPr>
        <sz val="10"/>
        <rFont val="Arial"/>
        <family val="2"/>
      </rPr>
      <t xml:space="preserve">use labour code Service or Small Job
</t>
    </r>
    <r>
      <rPr>
        <b/>
        <sz val="10"/>
        <rFont val="Arial"/>
        <family val="2"/>
      </rPr>
      <t xml:space="preserve">JOBS </t>
    </r>
    <r>
      <rPr>
        <sz val="10"/>
        <rFont val="Arial"/>
        <family val="2"/>
      </rPr>
      <t xml:space="preserve">starts with </t>
    </r>
    <r>
      <rPr>
        <b/>
        <sz val="10"/>
        <rFont val="Arial"/>
        <family val="2"/>
      </rPr>
      <t xml:space="preserve">Number L, 9 or S. </t>
    </r>
    <r>
      <rPr>
        <sz val="10"/>
        <rFont val="Arial"/>
        <family val="2"/>
      </rPr>
      <t>Use regular labour codes</t>
    </r>
  </si>
  <si>
    <r>
      <rPr>
        <b/>
        <u/>
        <sz val="9"/>
        <rFont val="Arial"/>
        <family val="2"/>
      </rPr>
      <t>On Call</t>
    </r>
    <r>
      <rPr>
        <b/>
        <sz val="9"/>
        <rFont val="Arial"/>
        <family val="2"/>
      </rPr>
      <t xml:space="preserve">: </t>
    </r>
    <r>
      <rPr>
        <sz val="9"/>
        <rFont val="Arial"/>
        <family val="2"/>
      </rPr>
      <t>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</si>
  <si>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</si>
  <si>
    <t>STAT:</t>
  </si>
  <si>
    <t>VP: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</si>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</sst>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_-"/>
    <numFmt numFmtId="165" formatCode="0.0;\-0.0;;@"/>
    <numFmt numFmtId="166" formatCode="&quot;$&quot;#,##0"/>
    <numFmt numFmtId="167" formatCode="mm/dd/yy;@"/>
    <numFmt numFmtId="168" formatCode="0.0_);\(0.0\)"/>
    <numFmt numFmtId="169" formatCode="0.0"/>
  </numFmts>
  <fonts count="11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u/>
      <sz val="9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10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7" fontId="0" fillId="2" borderId="2" xfId="0" applyNumberFormat="1" applyFill="1" applyBorder="1" applyAlignment="1">
      <alignment horizontal="center" vertical="center"/>
    </xf>
    <xf numFmtId="165" fontId="1" fillId="0" borderId="12" xfId="0" applyNumberFormat="1" applyFont="1" applyBorder="1" applyAlignment="1">
      <alignment horizontal="center" vertical="center"/>
    </xf>
    <xf numFmtId="167" fontId="0" fillId="0" borderId="13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8" fontId="0" fillId="0" borderId="0" xfId="0" applyNumberFormat="1" applyAlignment="1">
      <alignment vertical="center"/>
    </xf>
    <xf numFmtId="0" fontId="8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7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169" fontId="0" fillId="0" borderId="20" xfId="0" applyNumberFormat="1" applyBorder="1" applyAlignment="1">
      <alignment horizontal="center" vertical="center"/>
    </xf>
    <xf numFmtId="169" fontId="0" fillId="0" borderId="21" xfId="0" applyNumberFormat="1" applyBorder="1" applyAlignment="1">
      <alignment horizontal="center" vertical="center"/>
    </xf>
    <xf numFmtId="166" fontId="0" fillId="0" borderId="32" xfId="0" quotePrefix="1" applyNumberFormat="1" applyBorder="1" applyAlignment="1">
      <alignment horizontal="center" vertical="center"/>
    </xf>
    <xf numFmtId="166" fontId="0" fillId="0" borderId="0" xfId="0" quotePrefix="1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/>
      <protection locked="0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>
      <alignment horizontal="left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5" fontId="0" fillId="0" borderId="20" xfId="0" applyNumberFormat="1" applyBorder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9" fontId="0" fillId="0" borderId="20" xfId="0" quotePrefix="1" applyNumberFormat="1" applyBorder="1" applyAlignment="1">
      <alignment horizontal="center" vertical="center"/>
    </xf>
    <xf numFmtId="169" fontId="0" fillId="0" borderId="21" xfId="0" quotePrefix="1" applyNumberFormat="1" applyBorder="1" applyAlignment="1">
      <alignment horizontal="center" vertical="center"/>
    </xf>
    <xf numFmtId="0" fontId="4" fillId="0" borderId="22" xfId="0" applyFont="1" applyBorder="1" applyAlignment="1" applyProtection="1">
      <alignment horizontal="left" vertical="center"/>
      <protection hidden="1"/>
    </xf>
    <xf numFmtId="165" fontId="1" fillId="0" borderId="9" xfId="0" applyNumberFormat="1" applyFont="1" applyBorder="1" applyAlignment="1" applyProtection="1">
      <alignment horizontal="center" vertical="center"/>
      <protection hidden="1"/>
    </xf>
    <xf numFmtId="165" fontId="1" fillId="0" borderId="23" xfId="0" applyNumberFormat="1" applyFont="1" applyBorder="1" applyAlignment="1" applyProtection="1">
      <alignment horizontal="center" vertical="center"/>
      <protection hidden="1"/>
    </xf>
    <xf numFmtId="166" fontId="0" fillId="0" borderId="20" xfId="0" quotePrefix="1" applyNumberFormat="1" applyBorder="1" applyAlignment="1">
      <alignment horizontal="center" vertical="center"/>
    </xf>
    <xf numFmtId="166" fontId="0" fillId="0" borderId="21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165" fontId="1" fillId="0" borderId="4" xfId="0" applyNumberFormat="1" applyFont="1" applyBorder="1" applyAlignment="1" applyProtection="1">
      <alignment horizontal="center" vertical="center"/>
      <protection hidden="1"/>
    </xf>
    <xf numFmtId="165" fontId="1" fillId="0" borderId="11" xfId="0" applyNumberFormat="1" applyFont="1" applyBorder="1" applyAlignment="1" applyProtection="1">
      <alignment horizontal="center" vertical="center"/>
      <protection hidden="1"/>
    </xf>
    <xf numFmtId="0" fontId="1" fillId="0" borderId="4" xfId="0" applyFont="1" applyBorder="1" applyAlignment="1">
      <alignment horizontal="center" textRotation="90"/>
    </xf>
    <xf numFmtId="0" fontId="1" fillId="0" borderId="11" xfId="0" applyFont="1" applyBorder="1" applyAlignment="1">
      <alignment horizontal="center" textRotation="90"/>
    </xf>
    <xf numFmtId="0" fontId="0" fillId="0" borderId="0" xfId="0" applyAlignment="1">
      <alignment horizontal="left" vertical="top" wrapText="1"/>
    </xf>
    <xf numFmtId="169" fontId="0" fillId="0" borderId="2" xfId="0" applyNumberFormat="1" applyBorder="1" applyAlignment="1" applyProtection="1">
      <alignment horizontal="center" vertical="center"/>
      <protection locked="0"/>
    </xf>
    <xf numFmtId="165" fontId="0" fillId="0" borderId="4" xfId="0" applyNumberFormat="1" applyBorder="1" applyAlignment="1">
      <alignment horizontal="center" vertical="center" shrinkToFit="1"/>
    </xf>
    <xf numFmtId="165" fontId="0" fillId="0" borderId="11" xfId="0" applyNumberFormat="1" applyBorder="1" applyAlignment="1">
      <alignment horizontal="center" vertical="center" shrinkToFit="1"/>
    </xf>
    <xf numFmtId="165" fontId="0" fillId="0" borderId="2" xfId="0" applyNumberFormat="1" applyBorder="1" applyAlignment="1">
      <alignment horizontal="center" vertical="center"/>
    </xf>
    <xf numFmtId="165" fontId="0" fillId="0" borderId="2" xfId="0" applyNumberFormat="1" applyBorder="1"/>
    <xf numFmtId="0" fontId="4" fillId="0" borderId="0" xfId="0" applyFont="1" applyAlignment="1">
      <alignment horizontal="left" vertical="top" wrapText="1"/>
    </xf>
    <xf numFmtId="169" fontId="0" fillId="0" borderId="4" xfId="0" applyNumberFormat="1" applyBorder="1" applyAlignment="1" applyProtection="1">
      <alignment horizontal="center" vertical="center"/>
      <protection locked="0"/>
    </xf>
    <xf numFmtId="169" fontId="0" fillId="0" borderId="11" xfId="0" applyNumberForma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169" fontId="0" fillId="0" borderId="17" xfId="0" applyNumberFormat="1" applyBorder="1" applyAlignment="1" applyProtection="1">
      <alignment horizontal="center" vertical="center"/>
      <protection locked="0"/>
    </xf>
    <xf numFmtId="169" fontId="0" fillId="0" borderId="19" xfId="0" applyNumberForma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wrapText="1"/>
    </xf>
    <xf numFmtId="165" fontId="1" fillId="0" borderId="25" xfId="0" applyNumberFormat="1" applyFont="1" applyBorder="1" applyAlignment="1">
      <alignment horizontal="center" vertical="center"/>
    </xf>
    <xf numFmtId="165" fontId="1" fillId="0" borderId="26" xfId="0" applyNumberFormat="1" applyFont="1" applyBorder="1" applyAlignment="1">
      <alignment horizontal="center" vertical="center"/>
    </xf>
    <xf numFmtId="165" fontId="1" fillId="0" borderId="27" xfId="0" applyNumberFormat="1" applyFont="1" applyBorder="1" applyAlignment="1">
      <alignment horizontal="center" vertical="center"/>
    </xf>
    <xf numFmtId="165" fontId="1" fillId="0" borderId="28" xfId="0" applyNumberFormat="1" applyFont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169" fontId="0" fillId="0" borderId="10" xfId="0" quotePrefix="1" applyNumberFormat="1" applyBorder="1" applyAlignment="1">
      <alignment horizontal="center" vertical="center"/>
    </xf>
    <xf numFmtId="169" fontId="0" fillId="0" borderId="29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9" fontId="0" fillId="0" borderId="30" xfId="0" applyNumberFormat="1" applyBorder="1" applyAlignment="1" applyProtection="1">
      <alignment horizontal="center" vertical="center"/>
      <protection locked="0"/>
    </xf>
    <xf numFmtId="169" fontId="0" fillId="0" borderId="31" xfId="0" applyNumberFormat="1" applyBorder="1" applyAlignment="1" applyProtection="1">
      <alignment horizontal="center" vertical="center"/>
      <protection locked="0"/>
    </xf>
    <xf numFmtId="166" fontId="0" fillId="0" borderId="18" xfId="0" quotePrefix="1" applyNumberFormat="1" applyBorder="1" applyAlignment="1">
      <alignment horizontal="center" vertical="center"/>
    </xf>
    <xf numFmtId="166" fontId="0" fillId="0" borderId="24" xfId="0" applyNumberFormat="1" applyBorder="1" applyAlignment="1">
      <alignment horizontal="center" vertical="center"/>
    </xf>
    <xf numFmtId="166" fontId="0" fillId="0" borderId="10" xfId="0" quotePrefix="1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  <xf numFmtId="169" fontId="0" fillId="0" borderId="4" xfId="0" applyNumberFormat="1" applyBorder="1" applyAlignment="1" applyProtection="1">
      <alignment horizontal="center" vertical="center" wrapText="1"/>
      <protection locked="0"/>
    </xf>
    <xf numFmtId="169" fontId="0" fillId="0" borderId="11" xfId="0" applyNumberFormat="1" applyBorder="1" applyAlignment="1" applyProtection="1">
      <alignment horizontal="center" vertical="center" wrapText="1"/>
      <protection locked="0"/>
    </xf>
    <xf numFmtId="169" fontId="0" fillId="0" borderId="17" xfId="0" applyNumberFormat="1" applyBorder="1" applyAlignment="1" applyProtection="1">
      <alignment horizontal="center" vertical="center" wrapText="1"/>
      <protection locked="0"/>
    </xf>
    <xf numFmtId="169" fontId="0" fillId="0" borderId="19" xfId="0" applyNumberFormat="1" applyBorder="1" applyAlignment="1" applyProtection="1">
      <alignment horizontal="center" vertical="center" wrapText="1"/>
      <protection locked="0"/>
    </xf>
    <xf numFmtId="167" fontId="0" fillId="0" borderId="23" xfId="0" applyNumberFormat="1" applyBorder="1" applyAlignment="1" applyProtection="1">
      <alignment horizontal="center" vertical="center"/>
      <protection locked="0"/>
    </xf>
    <xf numFmtId="167" fontId="0" fillId="0" borderId="23" xfId="0" applyNumberFormat="1" applyBorder="1" applyAlignment="1">
      <alignment horizontal="center" vertical="center"/>
    </xf>
  </cellXfs>
  <cellStyles count="2">
    <cellStyle name="Currency 2" xfId="1" xr:uid="{B59E547B-1165-A04D-BDD6-E0626651FE69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AFEF7EF-CB61-D140-2B60-0CB2B1C3A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FD62BF-764A-E040-87FC-CD4A8615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69C4-4893-E64D-B68D-FA99C0F408D4}">
  <sheetPr codeName="Sheet1"/>
  <dimension ref="A1:AO35"/>
  <sheetViews>
    <sheetView showGridLines="0" view="pageBreakPreview" zoomScale="110" zoomScaleNormal="129" zoomScaleSheetLayoutView="110" workbookViewId="0">
      <selection activeCell="M9" sqref="M9:N9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41"/>
      <c r="B1" s="41"/>
      <c r="C1" s="41"/>
      <c r="D1" s="41"/>
      <c r="E1" s="41"/>
      <c r="F1" s="41"/>
      <c r="G1" s="41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1"/>
      <c r="B2" s="41"/>
      <c r="C2" s="41"/>
      <c r="D2" s="41"/>
      <c r="E2" s="41"/>
      <c r="F2" s="41"/>
      <c r="G2" s="41"/>
      <c r="J2" s="47" t="s">
        <v>0</v>
      </c>
      <c r="K2" s="47"/>
      <c r="L2" s="47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AI2" s="18" t="s">
        <v>1</v>
      </c>
      <c r="AJ2" s="45">
        <v>1</v>
      </c>
      <c r="AK2" s="45"/>
      <c r="AL2" s="45"/>
    </row>
    <row r="3" spans="1:41" ht="18" customHeight="1" x14ac:dyDescent="0.2">
      <c r="A3" s="4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45">
        <v>2025</v>
      </c>
      <c r="AK3" s="45"/>
      <c r="AL3" s="45"/>
    </row>
    <row r="4" spans="1:41" ht="75" customHeight="1" thickBot="1" x14ac:dyDescent="0.2">
      <c r="A4" s="21" t="s">
        <v>35</v>
      </c>
      <c r="B4" s="104">
        <v>45781</v>
      </c>
      <c r="C4" s="34" t="s">
        <v>4</v>
      </c>
      <c r="D4" s="35" t="s">
        <v>29</v>
      </c>
      <c r="E4" s="34" t="s">
        <v>4</v>
      </c>
      <c r="F4" s="35" t="s">
        <v>29</v>
      </c>
      <c r="G4" s="34" t="s">
        <v>4</v>
      </c>
      <c r="H4" s="35" t="s">
        <v>29</v>
      </c>
      <c r="I4" s="34" t="s">
        <v>4</v>
      </c>
      <c r="J4" s="35" t="s">
        <v>29</v>
      </c>
      <c r="K4" s="34" t="s">
        <v>4</v>
      </c>
      <c r="L4" s="35" t="s">
        <v>29</v>
      </c>
      <c r="M4" s="34" t="s">
        <v>4</v>
      </c>
      <c r="N4" s="35" t="s">
        <v>29</v>
      </c>
      <c r="O4" s="34" t="s">
        <v>4</v>
      </c>
      <c r="P4" s="35" t="s">
        <v>29</v>
      </c>
      <c r="Q4" s="34" t="s">
        <v>4</v>
      </c>
      <c r="R4" s="35" t="s">
        <v>29</v>
      </c>
      <c r="S4" s="34" t="s">
        <v>4</v>
      </c>
      <c r="T4" s="35" t="s">
        <v>29</v>
      </c>
      <c r="U4" s="34" t="s">
        <v>4</v>
      </c>
      <c r="V4" s="35" t="s">
        <v>29</v>
      </c>
      <c r="W4" s="34" t="s">
        <v>4</v>
      </c>
      <c r="X4" s="35" t="s">
        <v>29</v>
      </c>
      <c r="Y4" s="34" t="s">
        <v>4</v>
      </c>
      <c r="Z4" s="35" t="s">
        <v>29</v>
      </c>
      <c r="AA4" s="34" t="s">
        <v>4</v>
      </c>
      <c r="AB4" s="35" t="s">
        <v>29</v>
      </c>
      <c r="AC4" s="34" t="s">
        <v>4</v>
      </c>
      <c r="AD4" s="35" t="s">
        <v>29</v>
      </c>
      <c r="AE4" s="34" t="s">
        <v>4</v>
      </c>
      <c r="AF4" s="35" t="s">
        <v>29</v>
      </c>
      <c r="AG4" s="34" t="s">
        <v>4</v>
      </c>
      <c r="AH4" s="35" t="s">
        <v>29</v>
      </c>
      <c r="AI4" s="9" t="s">
        <v>5</v>
      </c>
      <c r="AJ4" s="42" t="s">
        <v>6</v>
      </c>
      <c r="AK4" s="43"/>
      <c r="AL4" s="44"/>
    </row>
    <row r="5" spans="1:41" ht="20.25" customHeight="1" thickBot="1" x14ac:dyDescent="0.2">
      <c r="A5" s="3" t="s">
        <v>7</v>
      </c>
      <c r="B5" s="22">
        <f>B4</f>
        <v>45781</v>
      </c>
      <c r="C5" s="75"/>
      <c r="D5" s="76"/>
      <c r="E5" s="75"/>
      <c r="F5" s="76"/>
      <c r="G5" s="75"/>
      <c r="H5" s="76"/>
      <c r="I5" s="75"/>
      <c r="J5" s="76"/>
      <c r="K5" s="75"/>
      <c r="L5" s="76"/>
      <c r="M5" s="75"/>
      <c r="N5" s="76"/>
      <c r="O5" s="75"/>
      <c r="P5" s="76"/>
      <c r="Q5" s="75"/>
      <c r="R5" s="76"/>
      <c r="S5" s="75"/>
      <c r="T5" s="76"/>
      <c r="U5" s="75"/>
      <c r="V5" s="76"/>
      <c r="W5" s="75"/>
      <c r="X5" s="76"/>
      <c r="Y5" s="75"/>
      <c r="Z5" s="76"/>
      <c r="AA5" s="75"/>
      <c r="AB5" s="76"/>
      <c r="AC5" s="75"/>
      <c r="AD5" s="76"/>
      <c r="AE5" s="75"/>
      <c r="AF5" s="76"/>
      <c r="AG5" s="75"/>
      <c r="AH5" s="76"/>
      <c r="AI5" s="5" t="str" cm="1">
        <f t="array" ref="AI5">IFERROR(SUM(_xlfn._xlws.FILTER(C5:AH5,ISNUMBER(C5:AH5))),"")</f>
        <v/>
      </c>
      <c r="AJ5" s="50" t="s">
        <v>8</v>
      </c>
      <c r="AK5" s="51"/>
      <c r="AL5" s="52"/>
    </row>
    <row r="6" spans="1:41" ht="20.25" customHeight="1" x14ac:dyDescent="0.15">
      <c r="A6" s="3" t="s">
        <v>9</v>
      </c>
      <c r="B6" s="25">
        <f t="shared" ref="B6:B11" si="0">B5+1</f>
        <v>45782</v>
      </c>
      <c r="C6" s="75"/>
      <c r="D6" s="76"/>
      <c r="E6" s="75"/>
      <c r="F6" s="76"/>
      <c r="G6" s="75"/>
      <c r="H6" s="76"/>
      <c r="I6" s="100"/>
      <c r="J6" s="101"/>
      <c r="K6" s="75"/>
      <c r="L6" s="76"/>
      <c r="M6" s="75"/>
      <c r="N6" s="76"/>
      <c r="O6" s="75"/>
      <c r="P6" s="76"/>
      <c r="Q6" s="75"/>
      <c r="R6" s="76"/>
      <c r="S6" s="75"/>
      <c r="T6" s="76"/>
      <c r="U6" s="75"/>
      <c r="V6" s="76"/>
      <c r="W6" s="75"/>
      <c r="X6" s="76"/>
      <c r="Y6" s="75"/>
      <c r="Z6" s="76"/>
      <c r="AA6" s="75"/>
      <c r="AB6" s="76"/>
      <c r="AC6" s="75"/>
      <c r="AD6" s="76"/>
      <c r="AE6" s="75"/>
      <c r="AF6" s="76"/>
      <c r="AG6" s="75"/>
      <c r="AH6" s="76"/>
      <c r="AI6" s="5" t="str" cm="1">
        <f t="array" ref="AI6">IFERROR(SUM(_xlfn._xlws.FILTER(C6:AH6,ISNUMBER(C6:AH6))),"")</f>
        <v/>
      </c>
      <c r="AJ6" s="12" t="s">
        <v>11</v>
      </c>
      <c r="AK6" s="53" t="str" cm="1">
        <f t="array" ref="AK6">_xlfn.LET(
  _xlpm.f, _xlfn._xlws.FILTER(C5:AH11,(C4:AH4&lt;&gt;"VP")*ISNUMBER(C12:AH12),0),
  _xlpm.s, SUM(_xlpm.f),
  IF(_xlpm.s=0,"",_xlpm.s)
)</f>
        <v/>
      </c>
      <c r="AL6" s="54"/>
    </row>
    <row r="7" spans="1:41" ht="20.25" customHeight="1" x14ac:dyDescent="0.15">
      <c r="A7" s="3" t="s">
        <v>10</v>
      </c>
      <c r="B7" s="25">
        <f t="shared" si="0"/>
        <v>45783</v>
      </c>
      <c r="C7" s="75"/>
      <c r="D7" s="76"/>
      <c r="E7" s="75"/>
      <c r="F7" s="76"/>
      <c r="G7" s="75"/>
      <c r="H7" s="76"/>
      <c r="I7" s="100"/>
      <c r="J7" s="101"/>
      <c r="K7" s="75"/>
      <c r="L7" s="76"/>
      <c r="M7" s="75"/>
      <c r="N7" s="76"/>
      <c r="O7" s="75"/>
      <c r="P7" s="76"/>
      <c r="Q7" s="75"/>
      <c r="R7" s="76"/>
      <c r="S7" s="75"/>
      <c r="T7" s="76"/>
      <c r="U7" s="75"/>
      <c r="V7" s="76"/>
      <c r="W7" s="75"/>
      <c r="X7" s="76"/>
      <c r="Y7" s="75"/>
      <c r="Z7" s="76"/>
      <c r="AA7" s="75"/>
      <c r="AB7" s="76"/>
      <c r="AC7" s="75"/>
      <c r="AD7" s="76"/>
      <c r="AE7" s="75"/>
      <c r="AF7" s="76"/>
      <c r="AG7" s="75"/>
      <c r="AH7" s="76"/>
      <c r="AI7" s="5" t="str" cm="1">
        <f t="array" ref="AI7">IFERROR(SUM(_xlfn._xlws.FILTER(C7:AH7,ISNUMBER(C7:AH7))),"")</f>
        <v/>
      </c>
      <c r="AJ7" s="12" t="s">
        <v>13</v>
      </c>
      <c r="AK7" s="53">
        <f>SUM(W16:X22)</f>
        <v>0</v>
      </c>
      <c r="AL7" s="54"/>
    </row>
    <row r="8" spans="1:41" ht="20.25" customHeight="1" x14ac:dyDescent="0.15">
      <c r="A8" s="3" t="s">
        <v>12</v>
      </c>
      <c r="B8" s="25">
        <f t="shared" si="0"/>
        <v>45784</v>
      </c>
      <c r="C8" s="75"/>
      <c r="D8" s="76"/>
      <c r="E8" s="75"/>
      <c r="F8" s="76"/>
      <c r="G8" s="75"/>
      <c r="H8" s="76"/>
      <c r="I8" s="100"/>
      <c r="J8" s="101"/>
      <c r="K8" s="75"/>
      <c r="L8" s="76"/>
      <c r="M8" s="75"/>
      <c r="N8" s="76"/>
      <c r="O8" s="75"/>
      <c r="P8" s="76"/>
      <c r="Q8" s="75"/>
      <c r="R8" s="76"/>
      <c r="S8" s="75"/>
      <c r="T8" s="76"/>
      <c r="U8" s="75"/>
      <c r="V8" s="76"/>
      <c r="W8" s="75"/>
      <c r="X8" s="76"/>
      <c r="Y8" s="75"/>
      <c r="Z8" s="76"/>
      <c r="AA8" s="75"/>
      <c r="AB8" s="76"/>
      <c r="AC8" s="75"/>
      <c r="AD8" s="76"/>
      <c r="AE8" s="75"/>
      <c r="AF8" s="76"/>
      <c r="AG8" s="75"/>
      <c r="AH8" s="76"/>
      <c r="AI8" s="5" t="str" cm="1">
        <f t="array" ref="AI8">IFERROR(SUM(_xlfn._xlws.FILTER(C8:AH8,ISNUMBER(C8:AH8))),"")</f>
        <v/>
      </c>
      <c r="AJ8" s="12" t="s">
        <v>15</v>
      </c>
      <c r="AK8" s="53">
        <f>SUM(Y16:Z22)</f>
        <v>0</v>
      </c>
      <c r="AL8" s="54"/>
    </row>
    <row r="9" spans="1:41" ht="20.25" customHeight="1" x14ac:dyDescent="0.15">
      <c r="A9" s="3" t="s">
        <v>14</v>
      </c>
      <c r="B9" s="25">
        <f t="shared" si="0"/>
        <v>45785</v>
      </c>
      <c r="C9" s="75"/>
      <c r="D9" s="76"/>
      <c r="E9" s="75"/>
      <c r="F9" s="76"/>
      <c r="G9" s="75"/>
      <c r="H9" s="76"/>
      <c r="I9" s="100"/>
      <c r="J9" s="101"/>
      <c r="K9" s="75"/>
      <c r="L9" s="76"/>
      <c r="M9" s="75"/>
      <c r="N9" s="76"/>
      <c r="O9" s="75"/>
      <c r="P9" s="76"/>
      <c r="Q9" s="75"/>
      <c r="R9" s="76"/>
      <c r="S9" s="75"/>
      <c r="T9" s="76"/>
      <c r="U9" s="75"/>
      <c r="V9" s="76"/>
      <c r="W9" s="75"/>
      <c r="X9" s="76"/>
      <c r="Y9" s="75"/>
      <c r="Z9" s="76"/>
      <c r="AA9" s="75"/>
      <c r="AB9" s="76"/>
      <c r="AC9" s="75"/>
      <c r="AD9" s="76"/>
      <c r="AE9" s="75"/>
      <c r="AF9" s="76"/>
      <c r="AG9" s="75"/>
      <c r="AH9" s="76"/>
      <c r="AI9" s="5" t="str" cm="1">
        <f t="array" ref="AI9">IFERROR(SUM(_xlfn._xlws.FILTER(C9:AH9,ISNUMBER(C9:AH9))),"")</f>
        <v/>
      </c>
      <c r="AJ9" s="12" t="s">
        <v>42</v>
      </c>
      <c r="AK9" s="36" t="str" cm="1">
        <f t="array" ref="AK9">IF(SUMPRODUCT((C4:AH4="VP")*ISNUMBER(C12:AH12)*C5:AH11)=0,"",
   SUMPRODUCT((C4:AH4="VP")*ISNUMBER(C12:AH12)*C5:AH11))</f>
        <v/>
      </c>
      <c r="AL9" s="37"/>
    </row>
    <row r="10" spans="1:41" ht="20.25" customHeight="1" x14ac:dyDescent="0.15">
      <c r="A10" s="3" t="s">
        <v>16</v>
      </c>
      <c r="B10" s="25">
        <f t="shared" si="0"/>
        <v>45786</v>
      </c>
      <c r="C10" s="75"/>
      <c r="D10" s="76"/>
      <c r="E10" s="75"/>
      <c r="F10" s="76"/>
      <c r="G10" s="75"/>
      <c r="H10" s="76"/>
      <c r="I10" s="100"/>
      <c r="J10" s="101"/>
      <c r="K10" s="75"/>
      <c r="L10" s="76"/>
      <c r="M10" s="75"/>
      <c r="N10" s="76"/>
      <c r="O10" s="75"/>
      <c r="P10" s="76"/>
      <c r="Q10" s="75"/>
      <c r="R10" s="76"/>
      <c r="S10" s="75"/>
      <c r="T10" s="76"/>
      <c r="U10" s="75"/>
      <c r="V10" s="76"/>
      <c r="W10" s="75"/>
      <c r="X10" s="76"/>
      <c r="Y10" s="75"/>
      <c r="Z10" s="76"/>
      <c r="AA10" s="75"/>
      <c r="AB10" s="76"/>
      <c r="AC10" s="75"/>
      <c r="AD10" s="76"/>
      <c r="AE10" s="75"/>
      <c r="AF10" s="76"/>
      <c r="AG10" s="75"/>
      <c r="AH10" s="76"/>
      <c r="AI10" s="5" t="str" cm="1">
        <f t="array" ref="AI10">IFERROR(SUM(_xlfn._xlws.FILTER(C10:AH10,ISNUMBER(C10:AH10))),"")</f>
        <v/>
      </c>
      <c r="AJ10" s="12" t="s">
        <v>17</v>
      </c>
      <c r="AK10" s="53">
        <f>AI13</f>
        <v>0</v>
      </c>
      <c r="AL10" s="55"/>
    </row>
    <row r="11" spans="1:41" ht="20.25" customHeight="1" thickBot="1" x14ac:dyDescent="0.2">
      <c r="A11" s="4" t="s">
        <v>18</v>
      </c>
      <c r="B11" s="25">
        <f t="shared" si="0"/>
        <v>45787</v>
      </c>
      <c r="C11" s="78"/>
      <c r="D11" s="79"/>
      <c r="E11" s="78"/>
      <c r="F11" s="79"/>
      <c r="G11" s="78"/>
      <c r="H11" s="79"/>
      <c r="I11" s="102"/>
      <c r="J11" s="103"/>
      <c r="K11" s="78"/>
      <c r="L11" s="79"/>
      <c r="M11" s="78"/>
      <c r="N11" s="79"/>
      <c r="O11" s="78"/>
      <c r="P11" s="79"/>
      <c r="Q11" s="78"/>
      <c r="R11" s="79"/>
      <c r="S11" s="78"/>
      <c r="T11" s="79"/>
      <c r="U11" s="78"/>
      <c r="V11" s="79"/>
      <c r="W11" s="78"/>
      <c r="X11" s="79"/>
      <c r="Y11" s="78"/>
      <c r="Z11" s="79"/>
      <c r="AA11" s="78"/>
      <c r="AB11" s="79"/>
      <c r="AC11" s="78"/>
      <c r="AD11" s="79"/>
      <c r="AE11" s="78"/>
      <c r="AF11" s="79"/>
      <c r="AG11" s="78"/>
      <c r="AH11" s="79"/>
      <c r="AI11" s="23" t="str" cm="1">
        <f t="array" ref="AI11">IFERROR(SUM(_xlfn._xlws.FILTER(C11:AH11,ISNUMBER(C11:AH11))),"")</f>
        <v/>
      </c>
      <c r="AJ11" s="13" t="s">
        <v>41</v>
      </c>
      <c r="AK11" s="56" t="str" cm="1">
        <f t="array" ref="AK11">_xlfn.LET(
    _xlpm.codes, C4:AH4,
    _xlpm.hours, C5:AH11,
    _xlpm.statHours, SUMPRODUCT((ISNUMBER(SEARCH("H",_xlpm.codes))+ISNUMBER(SEARCH("STAT",_xlpm.codes))&gt;0)*_xlpm.hours),
    IF(_xlpm.statHours=0,"",_xlpm.statHours)
)</f>
        <v/>
      </c>
      <c r="AL11" s="57"/>
      <c r="AM11" s="38"/>
      <c r="AN11" s="39"/>
    </row>
    <row r="12" spans="1:41" s="7" customFormat="1" ht="20.25" customHeight="1" x14ac:dyDescent="0.15">
      <c r="A12" s="58" t="s">
        <v>19</v>
      </c>
      <c r="B12" s="58"/>
      <c r="C12" s="59" t="str">
        <f>IF(OR(LEFT(C4,1)="N",,LEFT(C4,1)="L",C4="Service Night"),"", SUM(C5:D11))</f>
        <v/>
      </c>
      <c r="D12" s="60"/>
      <c r="E12" s="59" t="str">
        <f>IF(OR(LEFT(E4,1)="N",,LEFT(E4,1)="L",E4="Service Night"),"", SUM(E5:F11))</f>
        <v/>
      </c>
      <c r="F12" s="60"/>
      <c r="G12" s="59" t="str">
        <f t="shared" ref="G12" si="1">IF(OR(LEFT(G4,1)="N",,LEFT(G4,1)="L",G4="Service Night"),"", SUM(G5:H11))</f>
        <v/>
      </c>
      <c r="H12" s="60"/>
      <c r="I12" s="59" t="str">
        <f t="shared" ref="I12" si="2">IF(OR(LEFT(I4,1)="N",,LEFT(I4,1)="L",I4="Service Night"),"", SUM(I5:J11))</f>
        <v/>
      </c>
      <c r="J12" s="60"/>
      <c r="K12" s="59" t="str">
        <f t="shared" ref="K12" si="3">IF(OR(LEFT(K4,1)="N",,LEFT(K4,1)="L",K4="Service Night"),"", SUM(K5:L11))</f>
        <v/>
      </c>
      <c r="L12" s="60"/>
      <c r="M12" s="59" t="str">
        <f t="shared" ref="M12" si="4">IF(OR(LEFT(M4,1)="N",,LEFT(M4,1)="L",M4="Service Night"),"", SUM(M5:N11))</f>
        <v/>
      </c>
      <c r="N12" s="60"/>
      <c r="O12" s="59" t="str">
        <f t="shared" ref="O12" si="5">IF(OR(LEFT(O4,1)="N",,LEFT(O4,1)="L",O4="Service Night"),"", SUM(O5:P11))</f>
        <v/>
      </c>
      <c r="P12" s="60"/>
      <c r="Q12" s="59" t="str">
        <f t="shared" ref="Q12" si="6">IF(OR(LEFT(Q4,1)="N",,LEFT(Q4,1)="L",Q4="Service Night"),"", SUM(Q5:R11))</f>
        <v/>
      </c>
      <c r="R12" s="60"/>
      <c r="S12" s="59" t="str">
        <f t="shared" ref="S12" si="7">IF(OR(LEFT(S4,1)="N",,LEFT(S4,1)="L",S4="Service Night"),"", SUM(S5:T11))</f>
        <v/>
      </c>
      <c r="T12" s="60"/>
      <c r="U12" s="59" t="str">
        <f t="shared" ref="U12" si="8">IF(OR(LEFT(U4,1)="N",,LEFT(U4,1)="L",U4="Service Night"),"", SUM(U5:V11))</f>
        <v/>
      </c>
      <c r="V12" s="60"/>
      <c r="W12" s="59" t="str">
        <f t="shared" ref="W12" si="9">IF(OR(LEFT(W4,1)="N",,LEFT(W4,1)="L",W4="Service Night"),"", SUM(W5:X11))</f>
        <v/>
      </c>
      <c r="X12" s="60"/>
      <c r="Y12" s="59" t="str">
        <f t="shared" ref="Y12" si="10">IF(OR(LEFT(Y4,1)="N",,LEFT(Y4,1)="L",Y4="Service Night"),"", SUM(Y5:Z11))</f>
        <v/>
      </c>
      <c r="Z12" s="60"/>
      <c r="AA12" s="59" t="str">
        <f t="shared" ref="AA12" si="11">IF(OR(LEFT(AA4,1)="N",,LEFT(AA4,1)="L",AA4="Service Night"),"", SUM(AA5:AB11))</f>
        <v/>
      </c>
      <c r="AB12" s="60"/>
      <c r="AC12" s="59" t="str">
        <f t="shared" ref="AC12" si="12">IF(OR(LEFT(AC4,1)="N",,LEFT(AC4,1)="L",AC4="Service Night"),"", SUM(AC5:AD11))</f>
        <v/>
      </c>
      <c r="AD12" s="60"/>
      <c r="AE12" s="59" t="str">
        <f t="shared" ref="AE12" si="13">IF(OR(LEFT(AE4,1)="N",,LEFT(AE4,1)="L",AE4="Service Night"),"", SUM(AE5:AF11))</f>
        <v/>
      </c>
      <c r="AF12" s="60"/>
      <c r="AG12" s="59" t="str">
        <f t="shared" ref="AG12" si="14">IF(OR(LEFT(AG4,1)="N",,LEFT(AG4,1)="L",AG4="Service Night"),"", SUM(AG5:AH11))</f>
        <v/>
      </c>
      <c r="AH12" s="60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1" t="str">
        <f>IF(OR(C15="On Call",E15="On Call",G15="On Call",I15="On Call",K15="On Call",M15="On Call",O15="On Call",Q15="On Call",S15="On Call",U15="On Call"), 300, IF(0=0,"",0))</f>
        <v/>
      </c>
      <c r="AL12" s="62"/>
      <c r="AM12" s="38"/>
      <c r="AN12" s="40"/>
    </row>
    <row r="13" spans="1:41" ht="20.25" customHeight="1" x14ac:dyDescent="0.15">
      <c r="A13" s="63" t="s">
        <v>20</v>
      </c>
      <c r="B13" s="63"/>
      <c r="C13" s="64" t="str">
        <f>IF(OR(LEFT(C4,1)="N",C4="Service Night"), SUM(C5:D11),"")</f>
        <v/>
      </c>
      <c r="D13" s="65"/>
      <c r="E13" s="64" t="str">
        <f>IF(OR(LEFT(E4,1)="N",E4="Service Night"), SUM(E5:F11),"")</f>
        <v/>
      </c>
      <c r="F13" s="65"/>
      <c r="G13" s="64" t="str">
        <f t="shared" ref="G13" si="15">IF(OR(LEFT(G4,1)="N",G4="Service Night"), SUM(G5:H11),"")</f>
        <v/>
      </c>
      <c r="H13" s="65"/>
      <c r="I13" s="64" t="str">
        <f t="shared" ref="I13" si="16">IF(OR(LEFT(I4,1)="N",I4="Service Night"), SUM(I5:J11),"")</f>
        <v/>
      </c>
      <c r="J13" s="65"/>
      <c r="K13" s="64" t="str">
        <f t="shared" ref="K13" si="17">IF(OR(LEFT(K4,1)="N",K4="Service Night"), SUM(K5:L11),"")</f>
        <v/>
      </c>
      <c r="L13" s="65"/>
      <c r="M13" s="64" t="str">
        <f t="shared" ref="M13" si="18">IF(OR(LEFT(M4,1)="N",M4="Service Night"), SUM(M5:N11),"")</f>
        <v/>
      </c>
      <c r="N13" s="65"/>
      <c r="O13" s="64" t="str">
        <f t="shared" ref="O13" si="19">IF(OR(LEFT(O4,1)="N",O4="Service Night"), SUM(O5:P11),"")</f>
        <v/>
      </c>
      <c r="P13" s="65"/>
      <c r="Q13" s="64" t="str">
        <f t="shared" ref="Q13" si="20">IF(OR(LEFT(Q4,1)="N",Q4="Service Night"), SUM(Q5:R11),"")</f>
        <v/>
      </c>
      <c r="R13" s="65"/>
      <c r="S13" s="64" t="str">
        <f t="shared" ref="S13" si="21">IF(OR(LEFT(S4,1)="N",S4="Service Night"), SUM(S5:T11),"")</f>
        <v/>
      </c>
      <c r="T13" s="65"/>
      <c r="U13" s="64" t="str">
        <f t="shared" ref="U13" si="22">IF(OR(LEFT(U4,1)="N",U4="Service Night"), SUM(U5:V11),"")</f>
        <v/>
      </c>
      <c r="V13" s="65"/>
      <c r="W13" s="64" t="str">
        <f t="shared" ref="W13" si="23">IF(OR(LEFT(W4,1)="N",W4="Service Night"), SUM(W5:X11),"")</f>
        <v/>
      </c>
      <c r="X13" s="65"/>
      <c r="Y13" s="64" t="str">
        <f t="shared" ref="Y13" si="24">IF(OR(LEFT(Y4,1)="N",Y4="Service Night"), SUM(Y5:Z11),"")</f>
        <v/>
      </c>
      <c r="Z13" s="65"/>
      <c r="AA13" s="64" t="str">
        <f t="shared" ref="AA13" si="25">IF(OR(LEFT(AA4,1)="N",AA4="Service Night"), SUM(AA5:AB11),"")</f>
        <v/>
      </c>
      <c r="AB13" s="65"/>
      <c r="AC13" s="64" t="str">
        <f t="shared" ref="AC13" si="26">IF(OR(LEFT(AC4,1)="N",AC4="Service Night"), SUM(AC5:AD11),"")</f>
        <v/>
      </c>
      <c r="AD13" s="65"/>
      <c r="AE13" s="64" t="str">
        <f t="shared" ref="AE13" si="27">IF(OR(LEFT(AE4,1)="N",AE4="Service Night"), SUM(AE5:AF11),"")</f>
        <v/>
      </c>
      <c r="AF13" s="65"/>
      <c r="AG13" s="64" t="str">
        <f t="shared" ref="AG13" si="28">IF(OR(LEFT(AG4,1)="N",AG4="Service Night"), SUM(AG5:AH11),"")</f>
        <v/>
      </c>
      <c r="AH13" s="65"/>
      <c r="AI13" s="16">
        <f>SUM(C13:AH13)</f>
        <v>0</v>
      </c>
      <c r="AJ13" s="12" t="s">
        <v>36</v>
      </c>
      <c r="AK13" s="61" t="str" cm="1">
        <f t="array" ref="AK13">IF(COUNT(_xlfn._xlws.FILTER(C15:V22,C15:V15="On Call"))*50=0,"",COUNT(_xlfn._xlws.FILTER(C15:V22,C15:V15="On Call"))*50)</f>
        <v/>
      </c>
      <c r="AL13" s="62"/>
      <c r="AO13" s="26"/>
    </row>
    <row r="14" spans="1:41" s="20" customFormat="1" ht="20.25" customHeight="1" x14ac:dyDescent="0.15">
      <c r="A14" s="19" t="s">
        <v>21</v>
      </c>
      <c r="B14" s="19"/>
      <c r="AB14" s="19"/>
    </row>
    <row r="15" spans="1:41" ht="75" customHeight="1" x14ac:dyDescent="0.15">
      <c r="A15" s="10" t="s">
        <v>3</v>
      </c>
      <c r="B15" s="24">
        <f>B4</f>
        <v>45781</v>
      </c>
      <c r="C15" s="34" t="s">
        <v>4</v>
      </c>
      <c r="D15" s="35" t="s">
        <v>29</v>
      </c>
      <c r="E15" s="34" t="s">
        <v>4</v>
      </c>
      <c r="F15" s="35" t="s">
        <v>29</v>
      </c>
      <c r="G15" s="34" t="s">
        <v>4</v>
      </c>
      <c r="H15" s="35" t="s">
        <v>29</v>
      </c>
      <c r="I15" s="34" t="s">
        <v>4</v>
      </c>
      <c r="J15" s="35" t="s">
        <v>29</v>
      </c>
      <c r="K15" s="34" t="s">
        <v>4</v>
      </c>
      <c r="L15" s="35" t="s">
        <v>29</v>
      </c>
      <c r="M15" s="34" t="s">
        <v>4</v>
      </c>
      <c r="N15" s="35" t="s">
        <v>29</v>
      </c>
      <c r="O15" s="34" t="s">
        <v>4</v>
      </c>
      <c r="P15" s="35" t="s">
        <v>29</v>
      </c>
      <c r="Q15" s="34" t="s">
        <v>4</v>
      </c>
      <c r="R15" s="35" t="s">
        <v>29</v>
      </c>
      <c r="S15" s="34" t="s">
        <v>4</v>
      </c>
      <c r="T15" s="35" t="s">
        <v>29</v>
      </c>
      <c r="U15" s="34" t="s">
        <v>4</v>
      </c>
      <c r="V15" s="35" t="s">
        <v>29</v>
      </c>
      <c r="W15" s="66" t="s">
        <v>22</v>
      </c>
      <c r="X15" s="67"/>
      <c r="Y15" s="66" t="s">
        <v>23</v>
      </c>
      <c r="Z15" s="67"/>
      <c r="AA15" s="7"/>
      <c r="AB15" s="68" t="s">
        <v>38</v>
      </c>
      <c r="AC15" s="68"/>
      <c r="AD15" s="68"/>
      <c r="AE15" s="68"/>
      <c r="AF15" s="68"/>
      <c r="AG15" s="68"/>
      <c r="AH15" s="68"/>
      <c r="AI15" s="68"/>
      <c r="AJ15" s="68"/>
      <c r="AK15" s="68"/>
      <c r="AL15" s="68"/>
    </row>
    <row r="16" spans="1:41" ht="20.25" customHeight="1" x14ac:dyDescent="0.15">
      <c r="A16" s="3" t="s">
        <v>7</v>
      </c>
      <c r="B16" s="22">
        <f t="shared" ref="B16:B22" si="29">B5</f>
        <v>45781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85">
        <f t="shared" ref="W16:W17" si="30">IF(SUM(AI5)=0, MIN(SUMIFS(C16:V16, $C$15:$V$15, "&lt;&gt;Labour Codes:"), 12), MIN(SUMIFS(C16:V16, $C$15:$V$15, "&lt;&gt;Labour Codes:"), 4))</f>
        <v>0</v>
      </c>
      <c r="X16" s="86"/>
      <c r="Y16" s="72">
        <f>SUMIFS(C16:V16,C$15:V$15,"&lt;&gt;Labour Codes:")-W16</f>
        <v>0</v>
      </c>
      <c r="Z16" s="73"/>
      <c r="AB16" s="74" t="s">
        <v>40</v>
      </c>
      <c r="AC16" s="74"/>
      <c r="AD16" s="74"/>
      <c r="AE16" s="74"/>
      <c r="AF16" s="74"/>
      <c r="AG16" s="74"/>
      <c r="AH16" s="74"/>
      <c r="AN16" s="2"/>
    </row>
    <row r="17" spans="1:38" ht="20.25" customHeight="1" x14ac:dyDescent="0.15">
      <c r="A17" s="3" t="s">
        <v>9</v>
      </c>
      <c r="B17" s="22">
        <f t="shared" si="29"/>
        <v>45782</v>
      </c>
      <c r="C17" s="75"/>
      <c r="D17" s="76"/>
      <c r="E17" s="75"/>
      <c r="F17" s="76"/>
      <c r="G17" s="75"/>
      <c r="H17" s="76"/>
      <c r="I17" s="75"/>
      <c r="J17" s="76"/>
      <c r="K17" s="75"/>
      <c r="L17" s="76"/>
      <c r="M17" s="75"/>
      <c r="N17" s="76"/>
      <c r="O17" s="75"/>
      <c r="P17" s="76"/>
      <c r="Q17" s="75"/>
      <c r="R17" s="76"/>
      <c r="S17" s="75"/>
      <c r="T17" s="76"/>
      <c r="U17" s="75"/>
      <c r="V17" s="76"/>
      <c r="W17" s="85">
        <f t="shared" ref="W17:W22" si="31">IF(SUM(AI6)=0, MIN(SUMIFS(C17:V17, $C$15:$V$15, "&lt;&gt;Labour Codes:"), 12), MIN(SUMIFS(C17:V17, $C$15:$V$15, "&lt;&gt;Labour Codes:"), 4))</f>
        <v>0</v>
      </c>
      <c r="X17" s="86"/>
      <c r="Y17" s="72">
        <f t="shared" ref="Y17:Y22" si="32">SUMIFS(C17:V17,C$15:V$15,"&lt;&gt;Labour Codes:")-W17</f>
        <v>0</v>
      </c>
      <c r="Z17" s="73"/>
      <c r="AB17" s="74"/>
      <c r="AC17" s="74"/>
      <c r="AD17" s="74"/>
      <c r="AE17" s="74"/>
      <c r="AF17" s="74"/>
      <c r="AG17" s="74"/>
      <c r="AH17" s="74"/>
    </row>
    <row r="18" spans="1:38" ht="20.25" customHeight="1" x14ac:dyDescent="0.15">
      <c r="A18" s="3" t="s">
        <v>10</v>
      </c>
      <c r="B18" s="22">
        <f t="shared" si="29"/>
        <v>45783</v>
      </c>
      <c r="C18" s="75"/>
      <c r="D18" s="76"/>
      <c r="E18" s="75"/>
      <c r="F18" s="76"/>
      <c r="G18" s="75"/>
      <c r="H18" s="76"/>
      <c r="I18" s="75"/>
      <c r="J18" s="76"/>
      <c r="K18" s="75"/>
      <c r="L18" s="76"/>
      <c r="M18" s="75"/>
      <c r="N18" s="76"/>
      <c r="O18" s="75"/>
      <c r="P18" s="76"/>
      <c r="Q18" s="75"/>
      <c r="R18" s="76"/>
      <c r="S18" s="75"/>
      <c r="T18" s="76"/>
      <c r="U18" s="75"/>
      <c r="V18" s="76"/>
      <c r="W18" s="85">
        <f t="shared" si="31"/>
        <v>0</v>
      </c>
      <c r="X18" s="86"/>
      <c r="Y18" s="72">
        <f t="shared" si="32"/>
        <v>0</v>
      </c>
      <c r="Z18" s="73"/>
      <c r="AB18" s="74"/>
      <c r="AC18" s="74"/>
      <c r="AD18" s="74"/>
      <c r="AE18" s="74"/>
      <c r="AF18" s="74"/>
      <c r="AG18" s="74"/>
      <c r="AH18" s="74"/>
      <c r="AJ18" s="77"/>
      <c r="AK18" s="77"/>
      <c r="AL18" s="77"/>
    </row>
    <row r="19" spans="1:38" ht="20.25" customHeight="1" x14ac:dyDescent="0.15">
      <c r="A19" s="3" t="s">
        <v>12</v>
      </c>
      <c r="B19" s="22">
        <f t="shared" si="29"/>
        <v>45784</v>
      </c>
      <c r="C19" s="75"/>
      <c r="D19" s="76"/>
      <c r="E19" s="75"/>
      <c r="F19" s="76"/>
      <c r="G19" s="75"/>
      <c r="H19" s="76"/>
      <c r="I19" s="75"/>
      <c r="J19" s="76"/>
      <c r="K19" s="75"/>
      <c r="L19" s="76"/>
      <c r="M19" s="75"/>
      <c r="N19" s="76"/>
      <c r="O19" s="75"/>
      <c r="P19" s="76"/>
      <c r="Q19" s="75"/>
      <c r="R19" s="76"/>
      <c r="S19" s="75"/>
      <c r="T19" s="76"/>
      <c r="U19" s="75"/>
      <c r="V19" s="76"/>
      <c r="W19" s="85">
        <f t="shared" si="31"/>
        <v>0</v>
      </c>
      <c r="X19" s="86"/>
      <c r="Y19" s="72">
        <f t="shared" si="32"/>
        <v>0</v>
      </c>
      <c r="Z19" s="73"/>
      <c r="AB19" s="74"/>
      <c r="AC19" s="74"/>
      <c r="AD19" s="74"/>
      <c r="AE19" s="74"/>
      <c r="AF19" s="74"/>
      <c r="AG19" s="74"/>
      <c r="AH19" s="74"/>
      <c r="AJ19" s="17"/>
      <c r="AK19" s="41"/>
      <c r="AL19" s="41"/>
    </row>
    <row r="20" spans="1:38" ht="20.25" customHeight="1" x14ac:dyDescent="0.15">
      <c r="A20" s="3" t="s">
        <v>14</v>
      </c>
      <c r="B20" s="22">
        <f t="shared" si="29"/>
        <v>45785</v>
      </c>
      <c r="C20" s="75"/>
      <c r="D20" s="76"/>
      <c r="E20" s="75"/>
      <c r="F20" s="76"/>
      <c r="G20" s="75"/>
      <c r="H20" s="76"/>
      <c r="I20" s="75"/>
      <c r="J20" s="76"/>
      <c r="K20" s="75"/>
      <c r="L20" s="76"/>
      <c r="M20" s="75"/>
      <c r="N20" s="76"/>
      <c r="O20" s="75"/>
      <c r="P20" s="76"/>
      <c r="Q20" s="75"/>
      <c r="R20" s="76"/>
      <c r="S20" s="75"/>
      <c r="T20" s="76"/>
      <c r="U20" s="75"/>
      <c r="V20" s="76"/>
      <c r="W20" s="85">
        <f t="shared" si="31"/>
        <v>0</v>
      </c>
      <c r="X20" s="86"/>
      <c r="Y20" s="72">
        <f t="shared" si="32"/>
        <v>0</v>
      </c>
      <c r="Z20" s="73"/>
      <c r="AB20" s="74"/>
      <c r="AC20" s="74"/>
      <c r="AD20" s="74"/>
      <c r="AE20" s="74"/>
      <c r="AF20" s="74"/>
      <c r="AG20" s="74"/>
      <c r="AH20" s="74"/>
      <c r="AK20" s="46"/>
      <c r="AL20" s="46"/>
    </row>
    <row r="21" spans="1:38" ht="20.25" customHeight="1" x14ac:dyDescent="0.15">
      <c r="A21" s="3" t="s">
        <v>16</v>
      </c>
      <c r="B21" s="22">
        <f t="shared" si="29"/>
        <v>45786</v>
      </c>
      <c r="C21" s="75"/>
      <c r="D21" s="76"/>
      <c r="E21" s="75"/>
      <c r="F21" s="76"/>
      <c r="G21" s="75"/>
      <c r="H21" s="76"/>
      <c r="I21" s="75"/>
      <c r="J21" s="76"/>
      <c r="K21" s="75"/>
      <c r="L21" s="76"/>
      <c r="M21" s="75"/>
      <c r="N21" s="76"/>
      <c r="O21" s="75"/>
      <c r="P21" s="76"/>
      <c r="Q21" s="75"/>
      <c r="R21" s="76"/>
      <c r="S21" s="75"/>
      <c r="T21" s="76"/>
      <c r="U21" s="75"/>
      <c r="V21" s="76"/>
      <c r="W21" s="85">
        <f t="shared" si="31"/>
        <v>0</v>
      </c>
      <c r="X21" s="86"/>
      <c r="Y21" s="72">
        <f t="shared" si="32"/>
        <v>0</v>
      </c>
      <c r="Z21" s="73"/>
      <c r="AB21" s="74"/>
      <c r="AC21" s="74"/>
      <c r="AD21" s="74"/>
      <c r="AE21" s="74"/>
      <c r="AF21" s="74"/>
      <c r="AG21" s="74"/>
      <c r="AH21" s="74"/>
      <c r="AK21" s="46"/>
      <c r="AL21" s="46"/>
    </row>
    <row r="22" spans="1:38" ht="20.25" customHeight="1" thickBot="1" x14ac:dyDescent="0.2">
      <c r="A22" s="6" t="s">
        <v>18</v>
      </c>
      <c r="B22" s="22">
        <f t="shared" si="29"/>
        <v>45787</v>
      </c>
      <c r="C22" s="78"/>
      <c r="D22" s="79"/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  <c r="Q22" s="78"/>
      <c r="R22" s="79"/>
      <c r="S22" s="78"/>
      <c r="T22" s="79"/>
      <c r="U22" s="78"/>
      <c r="V22" s="79"/>
      <c r="W22" s="85">
        <f t="shared" si="31"/>
        <v>0</v>
      </c>
      <c r="X22" s="86"/>
      <c r="Y22" s="72">
        <f t="shared" si="32"/>
        <v>0</v>
      </c>
      <c r="Z22" s="73"/>
      <c r="AB22" s="74"/>
      <c r="AC22" s="74"/>
      <c r="AD22" s="74"/>
      <c r="AE22" s="74"/>
      <c r="AF22" s="74"/>
      <c r="AG22" s="74"/>
      <c r="AH22" s="74"/>
      <c r="AK22" s="46"/>
      <c r="AL22" s="46"/>
    </row>
    <row r="23" spans="1:38" ht="20.25" customHeight="1" x14ac:dyDescent="0.15">
      <c r="A23" s="89" t="s">
        <v>34</v>
      </c>
      <c r="B23" s="89"/>
      <c r="C23" s="83" t="str">
        <f>IF(AND(LEFT(C15,1) &lt;&gt; "N",LEFT(C15,3) &lt;&gt; "Lab"),SUM(C16:D22),"")</f>
        <v/>
      </c>
      <c r="D23" s="84"/>
      <c r="E23" s="83" t="str">
        <f>IF(AND(LEFT(E15,1) &lt;&gt; "N",LEFT(E15,3) &lt;&gt; "Lab"),SUM(E16:F22),"")</f>
        <v/>
      </c>
      <c r="F23" s="84"/>
      <c r="G23" s="83" t="str">
        <f>IF(AND(LEFT(G15,1) &lt;&gt; "N",LEFT(G15,3) &lt;&gt; "Lab"),SUM(G16:H22),"")</f>
        <v/>
      </c>
      <c r="H23" s="84"/>
      <c r="I23" s="83" t="str">
        <f>IF(AND(LEFT(I15,1) &lt;&gt; "N",LEFT(I15,3) &lt;&gt; "Lab"),SUM(I16:J22),"")</f>
        <v/>
      </c>
      <c r="J23" s="84"/>
      <c r="K23" s="83" t="str">
        <f>IF(AND(LEFT(K15,1) &lt;&gt; "N",LEFT(K15,3) &lt;&gt; "Lab"),SUM(K16:L22),"")</f>
        <v/>
      </c>
      <c r="L23" s="84"/>
      <c r="M23" s="83" t="str">
        <f>IF(AND(LEFT(M15,1) &lt;&gt; "N",LEFT(M15,3) &lt;&gt; "Lab"),SUM(M16:N22),"")</f>
        <v/>
      </c>
      <c r="N23" s="84"/>
      <c r="O23" s="83" t="str">
        <f>IF(AND(LEFT(O15,1) &lt;&gt; "N",LEFT(O15,3) &lt;&gt; "Lab"),SUM(O16:P22),"")</f>
        <v/>
      </c>
      <c r="P23" s="84"/>
      <c r="Q23" s="83" t="str">
        <f>IF(AND(LEFT(Q15,1) &lt;&gt; "N",LEFT(Q15,3) &lt;&gt; "Lab"),SUM(Q16:R22),"")</f>
        <v/>
      </c>
      <c r="R23" s="84"/>
      <c r="S23" s="83" t="str">
        <f>IF(AND(LEFT(S15,1) &lt;&gt; "N",LEFT(S15,3) &lt;&gt; "Lab"),SUM(S16:T22),"")</f>
        <v/>
      </c>
      <c r="T23" s="84"/>
      <c r="U23" s="83" t="str">
        <f>IF(AND(LEFT(U15,1) &lt;&gt; "N",LEFT(U15,3) &lt;&gt; "Lab"),SUM(U16:V22),"")</f>
        <v/>
      </c>
      <c r="V23" s="84"/>
      <c r="W23" s="81">
        <f>SUM(W16:X22)</f>
        <v>0</v>
      </c>
      <c r="X23" s="82"/>
      <c r="Y23" s="81">
        <f>SUM(Y16:Z22)</f>
        <v>0</v>
      </c>
      <c r="Z23" s="82"/>
      <c r="AA23" s="8"/>
      <c r="AB23" s="74"/>
      <c r="AC23" s="74"/>
      <c r="AD23" s="74"/>
      <c r="AE23" s="74"/>
      <c r="AF23" s="74"/>
      <c r="AG23" s="74"/>
      <c r="AH23" s="74"/>
      <c r="AK23" s="46"/>
      <c r="AL23" s="46"/>
    </row>
    <row r="24" spans="1:38" ht="20.25" customHeight="1" x14ac:dyDescent="0.15">
      <c r="A24" s="87" t="s">
        <v>24</v>
      </c>
      <c r="B24" s="88"/>
      <c r="C24" s="85"/>
      <c r="D24" s="86"/>
      <c r="E24" s="85"/>
      <c r="F24" s="86"/>
      <c r="G24" s="85"/>
      <c r="H24" s="86"/>
      <c r="I24" s="85"/>
      <c r="J24" s="86"/>
      <c r="K24" s="85"/>
      <c r="L24" s="86"/>
      <c r="M24" s="85"/>
      <c r="N24" s="86"/>
      <c r="O24" s="85"/>
      <c r="P24" s="86"/>
      <c r="Q24" s="85"/>
      <c r="R24" s="86"/>
      <c r="S24" s="85"/>
      <c r="T24" s="86"/>
      <c r="U24" s="85"/>
      <c r="V24" s="86"/>
      <c r="W24" s="87"/>
      <c r="X24" s="88"/>
      <c r="Y24" s="87"/>
      <c r="Z24" s="88"/>
      <c r="AB24" s="74"/>
      <c r="AC24" s="74"/>
      <c r="AD24" s="74"/>
      <c r="AE24" s="74"/>
      <c r="AF24" s="74"/>
      <c r="AG24" s="74"/>
      <c r="AH24" s="74"/>
      <c r="AJ24" s="7"/>
      <c r="AK24" s="46"/>
      <c r="AL24" s="46"/>
    </row>
    <row r="25" spans="1:38" ht="20.25" customHeight="1" x14ac:dyDescent="0.15">
      <c r="A25" s="31" t="s">
        <v>25</v>
      </c>
      <c r="B25" s="31"/>
      <c r="C25" s="31"/>
      <c r="D25" s="31"/>
      <c r="E25" s="31"/>
      <c r="F25" s="3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1"/>
      <c r="W25" s="31"/>
      <c r="X25" s="31"/>
      <c r="Y25" s="31"/>
      <c r="Z25" s="31"/>
      <c r="AA25" s="31"/>
      <c r="AB25" s="74"/>
      <c r="AC25" s="74"/>
      <c r="AD25" s="74"/>
      <c r="AE25" s="74"/>
      <c r="AF25" s="74"/>
      <c r="AG25" s="74"/>
      <c r="AH25" s="74"/>
      <c r="AJ25" s="20"/>
      <c r="AK25" s="8"/>
      <c r="AL25" s="8"/>
    </row>
    <row r="26" spans="1:38" x14ac:dyDescent="0.15">
      <c r="A26" s="80" t="s">
        <v>26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74"/>
      <c r="AC26" s="74"/>
      <c r="AD26" s="74"/>
      <c r="AE26" s="74"/>
      <c r="AF26" s="74"/>
      <c r="AG26" s="74"/>
      <c r="AH26" s="74"/>
    </row>
    <row r="27" spans="1:38" x14ac:dyDescent="0.15">
      <c r="A27" s="80" t="s">
        <v>30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74"/>
      <c r="AC27" s="74"/>
      <c r="AD27" s="74"/>
      <c r="AE27" s="74"/>
      <c r="AF27" s="74"/>
      <c r="AG27" s="74"/>
      <c r="AH27" s="74"/>
    </row>
    <row r="28" spans="1:38" ht="13" customHeight="1" x14ac:dyDescent="0.15">
      <c r="A28" s="80" t="s">
        <v>31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 t="s">
        <v>39</v>
      </c>
      <c r="AC28" s="80"/>
      <c r="AD28" s="80"/>
      <c r="AE28" s="80"/>
      <c r="AF28" s="80"/>
      <c r="AG28" s="80"/>
      <c r="AH28" s="80"/>
      <c r="AI28" s="80"/>
      <c r="AJ28" s="80"/>
      <c r="AK28" s="80"/>
      <c r="AL28" s="80"/>
    </row>
    <row r="29" spans="1:38" x14ac:dyDescent="0.15">
      <c r="A29" s="80" t="s">
        <v>32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</row>
    <row r="30" spans="1:38" x14ac:dyDescent="0.15">
      <c r="A30" s="80" t="s">
        <v>37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28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jyFyUGG6RoH0kXwISfdnRVUX6/6bMfBhJJRlyU1IN7q1idzrElAIOrEMLvGpsQ4RWTpJe2dS8IZOx3pkIxp0NA==" saltValue="L8W+Er1gUh1XX3YgmM/RtQ==" spinCount="100000" sheet="1" selectLockedCells="1"/>
  <dataConsolidate/>
  <mergeCells count="291">
    <mergeCell ref="AG5:AH5"/>
    <mergeCell ref="AG6:AH6"/>
    <mergeCell ref="AG7:AH7"/>
    <mergeCell ref="AG8:AH8"/>
    <mergeCell ref="AG9:AH9"/>
    <mergeCell ref="AG10:AH10"/>
    <mergeCell ref="AG11:AH11"/>
    <mergeCell ref="AC5:AD5"/>
    <mergeCell ref="AC6:AD6"/>
    <mergeCell ref="AC7:AD7"/>
    <mergeCell ref="AC8:AD8"/>
    <mergeCell ref="AC9:AD9"/>
    <mergeCell ref="AC10:AD10"/>
    <mergeCell ref="AC11:AD11"/>
    <mergeCell ref="AE5:AF5"/>
    <mergeCell ref="AE6:AF6"/>
    <mergeCell ref="AE7:AF7"/>
    <mergeCell ref="AE8:AF8"/>
    <mergeCell ref="AE9:AF9"/>
    <mergeCell ref="AE10:AF10"/>
    <mergeCell ref="AE11:AF11"/>
    <mergeCell ref="Y5:Z5"/>
    <mergeCell ref="Y6:Z6"/>
    <mergeCell ref="Y7:Z7"/>
    <mergeCell ref="Y8:Z8"/>
    <mergeCell ref="Y9:Z9"/>
    <mergeCell ref="Y10:Z10"/>
    <mergeCell ref="Y11:Z11"/>
    <mergeCell ref="AA5:AB5"/>
    <mergeCell ref="AA6:AB6"/>
    <mergeCell ref="AA7:AB7"/>
    <mergeCell ref="AA8:AB8"/>
    <mergeCell ref="AA9:AB9"/>
    <mergeCell ref="AA10:AB10"/>
    <mergeCell ref="AA11:AB11"/>
    <mergeCell ref="U5:V5"/>
    <mergeCell ref="U6:V6"/>
    <mergeCell ref="U7:V7"/>
    <mergeCell ref="U8:V8"/>
    <mergeCell ref="U9:V9"/>
    <mergeCell ref="U10:V10"/>
    <mergeCell ref="U11:V11"/>
    <mergeCell ref="W5:X5"/>
    <mergeCell ref="W6:X6"/>
    <mergeCell ref="W7:X7"/>
    <mergeCell ref="W8:X8"/>
    <mergeCell ref="W9:X9"/>
    <mergeCell ref="W10:X10"/>
    <mergeCell ref="W11:X11"/>
    <mergeCell ref="Q5:R5"/>
    <mergeCell ref="Q6:R6"/>
    <mergeCell ref="Q7:R7"/>
    <mergeCell ref="Q8:R8"/>
    <mergeCell ref="Q9:R9"/>
    <mergeCell ref="Q10:R10"/>
    <mergeCell ref="Q11:R11"/>
    <mergeCell ref="S5:T5"/>
    <mergeCell ref="S6:T6"/>
    <mergeCell ref="S7:T7"/>
    <mergeCell ref="S8:T8"/>
    <mergeCell ref="S9:T9"/>
    <mergeCell ref="S10:T10"/>
    <mergeCell ref="S11:T11"/>
    <mergeCell ref="M5:N5"/>
    <mergeCell ref="M6:N6"/>
    <mergeCell ref="M7:N7"/>
    <mergeCell ref="M8:N8"/>
    <mergeCell ref="M9:N9"/>
    <mergeCell ref="M10:N10"/>
    <mergeCell ref="M11:N11"/>
    <mergeCell ref="O5:P5"/>
    <mergeCell ref="O6:P6"/>
    <mergeCell ref="O7:P7"/>
    <mergeCell ref="O8:P8"/>
    <mergeCell ref="O9:P9"/>
    <mergeCell ref="O10:P10"/>
    <mergeCell ref="O11:P11"/>
    <mergeCell ref="I5:J5"/>
    <mergeCell ref="I6:J6"/>
    <mergeCell ref="I7:J7"/>
    <mergeCell ref="I8:J8"/>
    <mergeCell ref="I9:J9"/>
    <mergeCell ref="I10:J10"/>
    <mergeCell ref="I11:J11"/>
    <mergeCell ref="K5:L5"/>
    <mergeCell ref="K6:L6"/>
    <mergeCell ref="K7:L7"/>
    <mergeCell ref="K8:L8"/>
    <mergeCell ref="K9:L9"/>
    <mergeCell ref="K10:L10"/>
    <mergeCell ref="K11:L11"/>
    <mergeCell ref="E11:F11"/>
    <mergeCell ref="G5:H5"/>
    <mergeCell ref="G6:H6"/>
    <mergeCell ref="G7:H7"/>
    <mergeCell ref="G8:H8"/>
    <mergeCell ref="G9:H9"/>
    <mergeCell ref="G10:H10"/>
    <mergeCell ref="G11:H11"/>
    <mergeCell ref="C11:D11"/>
    <mergeCell ref="C5:D5"/>
    <mergeCell ref="C6:D6"/>
    <mergeCell ref="C7:D7"/>
    <mergeCell ref="C8:D8"/>
    <mergeCell ref="C9:D9"/>
    <mergeCell ref="C10:D10"/>
    <mergeCell ref="E5:F5"/>
    <mergeCell ref="E6:F6"/>
    <mergeCell ref="E7:F7"/>
    <mergeCell ref="E8:F8"/>
    <mergeCell ref="E9:F9"/>
    <mergeCell ref="E10:F10"/>
    <mergeCell ref="W22:X22"/>
    <mergeCell ref="Y22:Z22"/>
    <mergeCell ref="C22:D22"/>
    <mergeCell ref="E22:F22"/>
    <mergeCell ref="G22:H22"/>
    <mergeCell ref="I22:J22"/>
    <mergeCell ref="K22:L22"/>
    <mergeCell ref="M22:N22"/>
    <mergeCell ref="O22:P22"/>
    <mergeCell ref="AB28:AL29"/>
    <mergeCell ref="C23:D23"/>
    <mergeCell ref="E23:F23"/>
    <mergeCell ref="G23:H23"/>
    <mergeCell ref="I23:J23"/>
    <mergeCell ref="K23:L23"/>
    <mergeCell ref="M23:N23"/>
    <mergeCell ref="O23:P23"/>
    <mergeCell ref="Q23:R23"/>
    <mergeCell ref="W24:X24"/>
    <mergeCell ref="A29:AA29"/>
    <mergeCell ref="A26:AA26"/>
    <mergeCell ref="A27:AA27"/>
    <mergeCell ref="A28:AA28"/>
    <mergeCell ref="A30:AA30"/>
    <mergeCell ref="Y23:Z23"/>
    <mergeCell ref="S23:T23"/>
    <mergeCell ref="U23:V23"/>
    <mergeCell ref="M24:N24"/>
    <mergeCell ref="O24:P24"/>
    <mergeCell ref="Q24:R24"/>
    <mergeCell ref="S24:T24"/>
    <mergeCell ref="U24:V24"/>
    <mergeCell ref="W23:X23"/>
    <mergeCell ref="Y24:Z24"/>
    <mergeCell ref="A23:B23"/>
    <mergeCell ref="C24:D24"/>
    <mergeCell ref="E24:F24"/>
    <mergeCell ref="G24:H24"/>
    <mergeCell ref="I24:J24"/>
    <mergeCell ref="K24:L24"/>
    <mergeCell ref="A24:B24"/>
    <mergeCell ref="Q22:R22"/>
    <mergeCell ref="S22:T22"/>
    <mergeCell ref="U22:V22"/>
    <mergeCell ref="U20:V20"/>
    <mergeCell ref="W20:X20"/>
    <mergeCell ref="Y20:Z20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C20:D20"/>
    <mergeCell ref="E20:F20"/>
    <mergeCell ref="G20:H20"/>
    <mergeCell ref="I20:J20"/>
    <mergeCell ref="K20:L20"/>
    <mergeCell ref="M20:N20"/>
    <mergeCell ref="S17:T17"/>
    <mergeCell ref="O20:P20"/>
    <mergeCell ref="Q20:R20"/>
    <mergeCell ref="S20:T20"/>
    <mergeCell ref="AJ18:AL18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M18:N18"/>
    <mergeCell ref="O18:P18"/>
    <mergeCell ref="Q18:R18"/>
    <mergeCell ref="S18:T18"/>
    <mergeCell ref="U18:V18"/>
    <mergeCell ref="W18:X18"/>
    <mergeCell ref="Y18:Z18"/>
    <mergeCell ref="K18:L18"/>
    <mergeCell ref="C17:D17"/>
    <mergeCell ref="E17:F17"/>
    <mergeCell ref="G17:H17"/>
    <mergeCell ref="I17:J17"/>
    <mergeCell ref="K17:L17"/>
    <mergeCell ref="M17:N17"/>
    <mergeCell ref="O17:P17"/>
    <mergeCell ref="Q17:R17"/>
    <mergeCell ref="AK13:AL13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W12:X12"/>
    <mergeCell ref="Y12:Z12"/>
    <mergeCell ref="AA12:AB12"/>
    <mergeCell ref="AC12:AD12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C13:AD13"/>
    <mergeCell ref="AE13:AF13"/>
    <mergeCell ref="AG13:AH13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AK9:AL9"/>
    <mergeCell ref="AM11:AN11"/>
    <mergeCell ref="AM12:AN12"/>
    <mergeCell ref="A1:G2"/>
    <mergeCell ref="AJ4:AL4"/>
    <mergeCell ref="AJ3:AL3"/>
    <mergeCell ref="AJ2:AL2"/>
    <mergeCell ref="AK24:AL24"/>
    <mergeCell ref="AK23:AL23"/>
    <mergeCell ref="AK22:AL22"/>
    <mergeCell ref="AK20:AL20"/>
    <mergeCell ref="AK19:AL19"/>
    <mergeCell ref="AK21:AL21"/>
    <mergeCell ref="J2:L2"/>
    <mergeCell ref="M2:Y2"/>
    <mergeCell ref="A3:B3"/>
    <mergeCell ref="AJ5:AL5"/>
    <mergeCell ref="AK6:AL6"/>
    <mergeCell ref="AK7:AL7"/>
    <mergeCell ref="AK8:AL8"/>
    <mergeCell ref="AK10:AL10"/>
    <mergeCell ref="AK11:AL11"/>
    <mergeCell ref="A12:B12"/>
    <mergeCell ref="C12:D12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C924-17ED-194B-837F-7922143D8E88}">
  <sheetPr codeName="Sheet2"/>
  <dimension ref="A1:AN35"/>
  <sheetViews>
    <sheetView showGridLines="0" tabSelected="1" view="pageBreakPreview" zoomScale="110" zoomScaleNormal="129" zoomScaleSheetLayoutView="110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41"/>
      <c r="B1" s="41"/>
      <c r="C1" s="41"/>
      <c r="D1" s="41"/>
      <c r="E1" s="41"/>
      <c r="F1" s="41"/>
      <c r="G1" s="41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1"/>
      <c r="B2" s="41"/>
      <c r="C2" s="41"/>
      <c r="D2" s="41"/>
      <c r="E2" s="41"/>
      <c r="F2" s="41"/>
      <c r="G2" s="41"/>
      <c r="J2" s="47" t="s">
        <v>0</v>
      </c>
      <c r="K2" s="47"/>
      <c r="L2" s="47"/>
      <c r="M2" s="92" t="str">
        <f>IF('Week 1'!M2="", "", 'Week 1'!M2)</f>
        <v/>
      </c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3">
        <f>'Week 1'!AJ2</f>
        <v>1</v>
      </c>
      <c r="AK2" s="93"/>
      <c r="AL2" s="93"/>
    </row>
    <row r="3" spans="1:40" ht="18" customHeight="1" x14ac:dyDescent="0.2">
      <c r="A3" s="49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28</v>
      </c>
      <c r="AJ3" s="93">
        <f>'Week 1'!AJ3</f>
        <v>2025</v>
      </c>
      <c r="AK3" s="93"/>
      <c r="AL3" s="93"/>
    </row>
    <row r="4" spans="1:40" ht="75" customHeight="1" thickBot="1" x14ac:dyDescent="0.2">
      <c r="A4" s="21" t="s">
        <v>35</v>
      </c>
      <c r="B4" s="105">
        <f>('Week 1'!B11)+1</f>
        <v>45788</v>
      </c>
      <c r="C4" s="34" t="s">
        <v>4</v>
      </c>
      <c r="D4" s="35" t="s">
        <v>29</v>
      </c>
      <c r="E4" s="34" t="s">
        <v>4</v>
      </c>
      <c r="F4" s="35" t="s">
        <v>29</v>
      </c>
      <c r="G4" s="34" t="s">
        <v>4</v>
      </c>
      <c r="H4" s="35" t="s">
        <v>29</v>
      </c>
      <c r="I4" s="34" t="s">
        <v>4</v>
      </c>
      <c r="J4" s="35" t="s">
        <v>29</v>
      </c>
      <c r="K4" s="34" t="s">
        <v>4</v>
      </c>
      <c r="L4" s="35" t="s">
        <v>29</v>
      </c>
      <c r="M4" s="34" t="s">
        <v>4</v>
      </c>
      <c r="N4" s="35" t="s">
        <v>29</v>
      </c>
      <c r="O4" s="34" t="s">
        <v>4</v>
      </c>
      <c r="P4" s="35" t="s">
        <v>29</v>
      </c>
      <c r="Q4" s="34" t="s">
        <v>4</v>
      </c>
      <c r="R4" s="35" t="s">
        <v>29</v>
      </c>
      <c r="S4" s="34" t="s">
        <v>4</v>
      </c>
      <c r="T4" s="35" t="s">
        <v>29</v>
      </c>
      <c r="U4" s="34" t="s">
        <v>4</v>
      </c>
      <c r="V4" s="35" t="s">
        <v>29</v>
      </c>
      <c r="W4" s="34" t="s">
        <v>4</v>
      </c>
      <c r="X4" s="35" t="s">
        <v>29</v>
      </c>
      <c r="Y4" s="34" t="s">
        <v>4</v>
      </c>
      <c r="Z4" s="35" t="s">
        <v>29</v>
      </c>
      <c r="AA4" s="34" t="s">
        <v>4</v>
      </c>
      <c r="AB4" s="35" t="s">
        <v>29</v>
      </c>
      <c r="AC4" s="34" t="s">
        <v>4</v>
      </c>
      <c r="AD4" s="35" t="s">
        <v>29</v>
      </c>
      <c r="AE4" s="34" t="s">
        <v>4</v>
      </c>
      <c r="AF4" s="35" t="s">
        <v>29</v>
      </c>
      <c r="AG4" s="34" t="s">
        <v>4</v>
      </c>
      <c r="AH4" s="35" t="s">
        <v>29</v>
      </c>
      <c r="AI4" s="9" t="s">
        <v>5</v>
      </c>
      <c r="AJ4" s="42" t="s">
        <v>27</v>
      </c>
      <c r="AK4" s="43"/>
      <c r="AL4" s="44"/>
    </row>
    <row r="5" spans="1:40" ht="20.25" customHeight="1" thickBot="1" x14ac:dyDescent="0.2">
      <c r="A5" s="3" t="s">
        <v>7</v>
      </c>
      <c r="B5" s="33">
        <f>B4</f>
        <v>45788</v>
      </c>
      <c r="C5" s="75"/>
      <c r="D5" s="76"/>
      <c r="E5" s="75"/>
      <c r="F5" s="76"/>
      <c r="G5" s="75"/>
      <c r="H5" s="76"/>
      <c r="I5" s="75"/>
      <c r="J5" s="76"/>
      <c r="K5" s="75"/>
      <c r="L5" s="76"/>
      <c r="M5" s="75"/>
      <c r="N5" s="76"/>
      <c r="O5" s="75"/>
      <c r="P5" s="76"/>
      <c r="Q5" s="75"/>
      <c r="R5" s="76"/>
      <c r="S5" s="75"/>
      <c r="T5" s="76"/>
      <c r="U5" s="75"/>
      <c r="V5" s="76"/>
      <c r="W5" s="75"/>
      <c r="X5" s="76"/>
      <c r="Y5" s="75"/>
      <c r="Z5" s="76"/>
      <c r="AA5" s="75"/>
      <c r="AB5" s="76"/>
      <c r="AC5" s="75"/>
      <c r="AD5" s="76"/>
      <c r="AE5" s="75"/>
      <c r="AF5" s="76"/>
      <c r="AG5" s="75"/>
      <c r="AH5" s="76"/>
      <c r="AI5" s="5" t="str" cm="1">
        <f t="array" ref="AI5">IFERROR(SUM(_xlfn._xlws.FILTER(C5:AH5,ISNUMBER(C5:AH5))),"")</f>
        <v/>
      </c>
      <c r="AJ5" s="50" t="s">
        <v>8</v>
      </c>
      <c r="AK5" s="51"/>
      <c r="AL5" s="52"/>
    </row>
    <row r="6" spans="1:40" ht="20.25" customHeight="1" x14ac:dyDescent="0.15">
      <c r="A6" s="3" t="s">
        <v>9</v>
      </c>
      <c r="B6" s="25">
        <f t="shared" ref="B6:B11" si="0">B5+1</f>
        <v>45789</v>
      </c>
      <c r="C6" s="75"/>
      <c r="D6" s="76"/>
      <c r="E6" s="75"/>
      <c r="F6" s="76"/>
      <c r="G6" s="75"/>
      <c r="H6" s="76"/>
      <c r="I6" s="100"/>
      <c r="J6" s="101"/>
      <c r="K6" s="75"/>
      <c r="L6" s="76"/>
      <c r="M6" s="75"/>
      <c r="N6" s="76"/>
      <c r="O6" s="75"/>
      <c r="P6" s="76"/>
      <c r="Q6" s="75"/>
      <c r="R6" s="76"/>
      <c r="S6" s="75"/>
      <c r="T6" s="76"/>
      <c r="U6" s="75"/>
      <c r="V6" s="76"/>
      <c r="W6" s="75"/>
      <c r="X6" s="76"/>
      <c r="Y6" s="75"/>
      <c r="Z6" s="76"/>
      <c r="AA6" s="75"/>
      <c r="AB6" s="76"/>
      <c r="AC6" s="75"/>
      <c r="AD6" s="76"/>
      <c r="AE6" s="75"/>
      <c r="AF6" s="76"/>
      <c r="AG6" s="75"/>
      <c r="AH6" s="76"/>
      <c r="AI6" s="5" t="str" cm="1">
        <f t="array" ref="AI6">IFERROR(SUM(_xlfn._xlws.FILTER(C6:AH6,ISNUMBER(C6:AH6))),"")</f>
        <v/>
      </c>
      <c r="AJ6" s="12" t="s">
        <v>11</v>
      </c>
      <c r="AK6" s="53" t="str" cm="1">
        <f t="array" ref="AK6">_xlfn.LET(
  _xlpm.f, _xlfn._xlws.FILTER(C5:AH11,(C4:AH4&lt;&gt;"VP")*ISNUMBER(C12:AH12),0),
  _xlpm.s, SUM(_xlpm.f),
  IF(_xlpm.s=0,"",_xlpm.s)
)</f>
        <v/>
      </c>
      <c r="AL6" s="54"/>
    </row>
    <row r="7" spans="1:40" ht="20.25" customHeight="1" x14ac:dyDescent="0.15">
      <c r="A7" s="3" t="s">
        <v>10</v>
      </c>
      <c r="B7" s="25">
        <f t="shared" si="0"/>
        <v>45790</v>
      </c>
      <c r="C7" s="75"/>
      <c r="D7" s="76"/>
      <c r="E7" s="75"/>
      <c r="F7" s="76"/>
      <c r="G7" s="75"/>
      <c r="H7" s="76"/>
      <c r="I7" s="100"/>
      <c r="J7" s="101"/>
      <c r="K7" s="75"/>
      <c r="L7" s="76"/>
      <c r="M7" s="75"/>
      <c r="N7" s="76"/>
      <c r="O7" s="75"/>
      <c r="P7" s="76"/>
      <c r="Q7" s="75"/>
      <c r="R7" s="76"/>
      <c r="S7" s="75"/>
      <c r="T7" s="76"/>
      <c r="U7" s="75"/>
      <c r="V7" s="76"/>
      <c r="W7" s="75"/>
      <c r="X7" s="76"/>
      <c r="Y7" s="75"/>
      <c r="Z7" s="76"/>
      <c r="AA7" s="75"/>
      <c r="AB7" s="76"/>
      <c r="AC7" s="75"/>
      <c r="AD7" s="76"/>
      <c r="AE7" s="75"/>
      <c r="AF7" s="76"/>
      <c r="AG7" s="75"/>
      <c r="AH7" s="76"/>
      <c r="AI7" s="5" t="str" cm="1">
        <f t="array" ref="AI7">IFERROR(SUM(_xlfn._xlws.FILTER(C7:AH7,ISNUMBER(C7:AH7))),"")</f>
        <v/>
      </c>
      <c r="AJ7" s="12" t="s">
        <v>13</v>
      </c>
      <c r="AK7" s="53">
        <f>SUM(W16:X22)</f>
        <v>0</v>
      </c>
      <c r="AL7" s="54"/>
    </row>
    <row r="8" spans="1:40" ht="20.25" customHeight="1" x14ac:dyDescent="0.15">
      <c r="A8" s="3" t="s">
        <v>12</v>
      </c>
      <c r="B8" s="25">
        <f t="shared" si="0"/>
        <v>45791</v>
      </c>
      <c r="C8" s="75"/>
      <c r="D8" s="76"/>
      <c r="E8" s="75"/>
      <c r="F8" s="76"/>
      <c r="G8" s="75"/>
      <c r="H8" s="76"/>
      <c r="I8" s="100"/>
      <c r="J8" s="101"/>
      <c r="K8" s="75"/>
      <c r="L8" s="76"/>
      <c r="M8" s="75"/>
      <c r="N8" s="76"/>
      <c r="O8" s="75"/>
      <c r="P8" s="76"/>
      <c r="Q8" s="75"/>
      <c r="R8" s="76"/>
      <c r="S8" s="75"/>
      <c r="T8" s="76"/>
      <c r="U8" s="75"/>
      <c r="V8" s="76"/>
      <c r="W8" s="75"/>
      <c r="X8" s="76"/>
      <c r="Y8" s="75"/>
      <c r="Z8" s="76"/>
      <c r="AA8" s="75"/>
      <c r="AB8" s="76"/>
      <c r="AC8" s="75"/>
      <c r="AD8" s="76"/>
      <c r="AE8" s="75"/>
      <c r="AF8" s="76"/>
      <c r="AG8" s="75"/>
      <c r="AH8" s="76"/>
      <c r="AI8" s="5" t="str" cm="1">
        <f t="array" ref="AI8">IFERROR(SUM(_xlfn._xlws.FILTER(C8:AH8,ISNUMBER(C8:AH8))),"")</f>
        <v/>
      </c>
      <c r="AJ8" s="12" t="s">
        <v>15</v>
      </c>
      <c r="AK8" s="53">
        <f>SUM(Y16:Z22)</f>
        <v>0</v>
      </c>
      <c r="AL8" s="54"/>
    </row>
    <row r="9" spans="1:40" ht="20.25" customHeight="1" x14ac:dyDescent="0.15">
      <c r="A9" s="3" t="s">
        <v>14</v>
      </c>
      <c r="B9" s="25">
        <f t="shared" si="0"/>
        <v>45792</v>
      </c>
      <c r="C9" s="75"/>
      <c r="D9" s="76"/>
      <c r="E9" s="75"/>
      <c r="F9" s="76"/>
      <c r="G9" s="75"/>
      <c r="H9" s="76"/>
      <c r="I9" s="100"/>
      <c r="J9" s="101"/>
      <c r="K9" s="75"/>
      <c r="L9" s="76"/>
      <c r="M9" s="75"/>
      <c r="N9" s="76"/>
      <c r="O9" s="75"/>
      <c r="P9" s="76"/>
      <c r="Q9" s="75"/>
      <c r="R9" s="76"/>
      <c r="S9" s="75"/>
      <c r="T9" s="76"/>
      <c r="U9" s="75"/>
      <c r="V9" s="76"/>
      <c r="W9" s="75"/>
      <c r="X9" s="76"/>
      <c r="Y9" s="75"/>
      <c r="Z9" s="76"/>
      <c r="AA9" s="75"/>
      <c r="AB9" s="76"/>
      <c r="AC9" s="75"/>
      <c r="AD9" s="76"/>
      <c r="AE9" s="75"/>
      <c r="AF9" s="76"/>
      <c r="AG9" s="75"/>
      <c r="AH9" s="76"/>
      <c r="AI9" s="5" t="str" cm="1">
        <f t="array" ref="AI9">IFERROR(SUM(_xlfn._xlws.FILTER(C9:AH9,ISNUMBER(C9:AH9))),"")</f>
        <v/>
      </c>
      <c r="AJ9" s="12" t="s">
        <v>42</v>
      </c>
      <c r="AK9" s="36" t="str" cm="1">
        <f t="array" ref="AK9">IF(SUMPRODUCT((C4:AH4="VP")*ISNUMBER(C12:AH12)*C5:AH11)=0,"",
   SUMPRODUCT((C4:AH4="VP")*ISNUMBER(C12:AH12)*C5:AH11))</f>
        <v/>
      </c>
      <c r="AL9" s="37"/>
    </row>
    <row r="10" spans="1:40" ht="20.25" customHeight="1" x14ac:dyDescent="0.15">
      <c r="A10" s="3" t="s">
        <v>16</v>
      </c>
      <c r="B10" s="25">
        <f t="shared" si="0"/>
        <v>45793</v>
      </c>
      <c r="C10" s="75"/>
      <c r="D10" s="76"/>
      <c r="E10" s="75"/>
      <c r="F10" s="76"/>
      <c r="G10" s="75"/>
      <c r="H10" s="76"/>
      <c r="I10" s="100"/>
      <c r="J10" s="101"/>
      <c r="K10" s="75"/>
      <c r="L10" s="76"/>
      <c r="M10" s="75"/>
      <c r="N10" s="76"/>
      <c r="O10" s="75"/>
      <c r="P10" s="76"/>
      <c r="Q10" s="75"/>
      <c r="R10" s="76"/>
      <c r="S10" s="75"/>
      <c r="T10" s="76"/>
      <c r="U10" s="75"/>
      <c r="V10" s="76"/>
      <c r="W10" s="75"/>
      <c r="X10" s="76"/>
      <c r="Y10" s="75"/>
      <c r="Z10" s="76"/>
      <c r="AA10" s="75"/>
      <c r="AB10" s="76"/>
      <c r="AC10" s="75"/>
      <c r="AD10" s="76"/>
      <c r="AE10" s="75"/>
      <c r="AF10" s="76"/>
      <c r="AG10" s="75"/>
      <c r="AH10" s="76"/>
      <c r="AI10" s="5" t="str" cm="1">
        <f t="array" ref="AI10">IFERROR(SUM(_xlfn._xlws.FILTER(C10:AH10,ISNUMBER(C10:AH10))),"")</f>
        <v/>
      </c>
      <c r="AJ10" s="12" t="s">
        <v>17</v>
      </c>
      <c r="AK10" s="53">
        <f>AI13</f>
        <v>0</v>
      </c>
      <c r="AL10" s="55"/>
    </row>
    <row r="11" spans="1:40" ht="20.25" customHeight="1" thickBot="1" x14ac:dyDescent="0.2">
      <c r="A11" s="4" t="s">
        <v>18</v>
      </c>
      <c r="B11" s="25">
        <f t="shared" si="0"/>
        <v>45794</v>
      </c>
      <c r="C11" s="78"/>
      <c r="D11" s="79"/>
      <c r="E11" s="78"/>
      <c r="F11" s="79"/>
      <c r="G11" s="78"/>
      <c r="H11" s="79"/>
      <c r="I11" s="102"/>
      <c r="J11" s="103"/>
      <c r="K11" s="78"/>
      <c r="L11" s="79"/>
      <c r="M11" s="78"/>
      <c r="N11" s="79"/>
      <c r="O11" s="78"/>
      <c r="P11" s="79"/>
      <c r="Q11" s="78"/>
      <c r="R11" s="79"/>
      <c r="S11" s="78"/>
      <c r="T11" s="79"/>
      <c r="U11" s="78"/>
      <c r="V11" s="79"/>
      <c r="W11" s="78"/>
      <c r="X11" s="79"/>
      <c r="Y11" s="78"/>
      <c r="Z11" s="79"/>
      <c r="AA11" s="78"/>
      <c r="AB11" s="79"/>
      <c r="AC11" s="78"/>
      <c r="AD11" s="79"/>
      <c r="AE11" s="78"/>
      <c r="AF11" s="79"/>
      <c r="AG11" s="78"/>
      <c r="AH11" s="79"/>
      <c r="AI11" s="23" t="str" cm="1">
        <f t="array" ref="AI11">IFERROR(SUM(_xlfn._xlws.FILTER(C11:AH11,ISNUMBER(C11:AH11))),"")</f>
        <v/>
      </c>
      <c r="AJ11" s="13" t="s">
        <v>41</v>
      </c>
      <c r="AK11" s="56" t="str" cm="1">
        <f t="array" ref="AK11">_xlfn.LET(
    _xlpm.codes, C4:AH4,
    _xlpm.hours, C5:AH11,
    _xlpm.statHours, SUMPRODUCT((ISNUMBER(SEARCH("H",_xlpm.codes))+ISNUMBER(SEARCH("STAT",_xlpm.codes))&gt;0)*_xlpm.hours),
    IF(_xlpm.statHours=0,"",_xlpm.statHours)
)</f>
        <v/>
      </c>
      <c r="AL11" s="57"/>
    </row>
    <row r="12" spans="1:40" s="7" customFormat="1" ht="20.25" customHeight="1" x14ac:dyDescent="0.15">
      <c r="A12" s="58" t="s">
        <v>19</v>
      </c>
      <c r="B12" s="58"/>
      <c r="C12" s="59" t="str">
        <f>IF(OR(LEFT(C4,1)="N",,LEFT(C4,1)="L",C4="Service Night"),"", SUM(C5:D11))</f>
        <v/>
      </c>
      <c r="D12" s="60"/>
      <c r="E12" s="59" t="str">
        <f t="shared" ref="E12" si="1">IF(OR(LEFT(E4,1)="N",,LEFT(E4,1)="L",E4="Service Night"),"", SUM(E5:F11))</f>
        <v/>
      </c>
      <c r="F12" s="60"/>
      <c r="G12" s="59" t="str">
        <f t="shared" ref="G12" si="2">IF(OR(LEFT(G4,1)="N",,LEFT(G4,1)="L",G4="Service Night"),"", SUM(G5:H11))</f>
        <v/>
      </c>
      <c r="H12" s="60"/>
      <c r="I12" s="59" t="str">
        <f t="shared" ref="I12" si="3">IF(OR(LEFT(I4,1)="N",,LEFT(I4,1)="L",I4="Service Night"),"", SUM(I5:J11))</f>
        <v/>
      </c>
      <c r="J12" s="60"/>
      <c r="K12" s="59" t="str">
        <f t="shared" ref="K12" si="4">IF(OR(LEFT(K4,1)="N",,LEFT(K4,1)="L",K4="Service Night"),"", SUM(K5:L11))</f>
        <v/>
      </c>
      <c r="L12" s="60"/>
      <c r="M12" s="59" t="str">
        <f t="shared" ref="M12" si="5">IF(OR(LEFT(M4,1)="N",,LEFT(M4,1)="L",M4="Service Night"),"", SUM(M5:N11))</f>
        <v/>
      </c>
      <c r="N12" s="60"/>
      <c r="O12" s="59" t="str">
        <f t="shared" ref="O12" si="6">IF(OR(LEFT(O4,1)="N",,LEFT(O4,1)="L",O4="Service Night"),"", SUM(O5:P11))</f>
        <v/>
      </c>
      <c r="P12" s="60"/>
      <c r="Q12" s="59" t="str">
        <f t="shared" ref="Q12" si="7">IF(OR(LEFT(Q4,1)="N",,LEFT(Q4,1)="L",Q4="Service Night"),"", SUM(Q5:R11))</f>
        <v/>
      </c>
      <c r="R12" s="60"/>
      <c r="S12" s="59" t="str">
        <f t="shared" ref="S12" si="8">IF(OR(LEFT(S4,1)="N",,LEFT(S4,1)="L",S4="Service Night"),"", SUM(S5:T11))</f>
        <v/>
      </c>
      <c r="T12" s="60"/>
      <c r="U12" s="59" t="str">
        <f t="shared" ref="U12" si="9">IF(OR(LEFT(U4,1)="N",,LEFT(U4,1)="L",U4="Service Night"),"", SUM(U5:V11))</f>
        <v/>
      </c>
      <c r="V12" s="60"/>
      <c r="W12" s="59" t="str">
        <f t="shared" ref="W12" si="10">IF(OR(LEFT(W4,1)="N",,LEFT(W4,1)="L",W4="Service Night"),"", SUM(W5:X11))</f>
        <v/>
      </c>
      <c r="X12" s="60"/>
      <c r="Y12" s="59" t="str">
        <f t="shared" ref="Y12" si="11">IF(OR(LEFT(Y4,1)="N",,LEFT(Y4,1)="L",Y4="Service Night"),"", SUM(Y5:Z11))</f>
        <v/>
      </c>
      <c r="Z12" s="60"/>
      <c r="AA12" s="59" t="str">
        <f t="shared" ref="AA12" si="12">IF(OR(LEFT(AA4,1)="N",,LEFT(AA4,1)="L",AA4="Service Night"),"", SUM(AA5:AB11))</f>
        <v/>
      </c>
      <c r="AB12" s="60"/>
      <c r="AC12" s="59" t="str">
        <f t="shared" ref="AC12" si="13">IF(OR(LEFT(AC4,1)="N",,LEFT(AC4,1)="L",AC4="Service Night"),"", SUM(AC5:AD11))</f>
        <v/>
      </c>
      <c r="AD12" s="60"/>
      <c r="AE12" s="59" t="str">
        <f t="shared" ref="AE12" si="14">IF(OR(LEFT(AE4,1)="N",,LEFT(AE4,1)="L",AE4="Service Night"),"", SUM(AE5:AF11))</f>
        <v/>
      </c>
      <c r="AF12" s="60"/>
      <c r="AG12" s="59" t="str">
        <f t="shared" ref="AG12" si="15">IF(OR(LEFT(AG4,1)="N",,LEFT(AG4,1)="L",AG4="Service Night"),"", SUM(AG5:AH11))</f>
        <v/>
      </c>
      <c r="AH12" s="60"/>
      <c r="AI12" s="15" t="str" cm="1">
        <f t="array" ref="AI12">IFERROR(
  SUM( _xlfn._xlws.FILTER( C5:AH11, (C4:AH4&lt;&gt;"VP") * ISNUMBER(C12:AH12) ) ),
  ""
)</f>
        <v/>
      </c>
      <c r="AJ12" s="13" t="s">
        <v>33</v>
      </c>
      <c r="AK12" s="61" t="str">
        <f>IF(OR(C15="On Call",E15="On Call",G15="On Call",I15="On Call",K15="On Call",M15="On Call",O15="On Call",Q15="On Call",S15="On Call",U15="On Call"), 300, IF(0=0,"",0))</f>
        <v/>
      </c>
      <c r="AL12" s="62"/>
    </row>
    <row r="13" spans="1:40" ht="20.25" customHeight="1" x14ac:dyDescent="0.15">
      <c r="A13" s="63" t="s">
        <v>20</v>
      </c>
      <c r="B13" s="63"/>
      <c r="C13" s="64" t="str">
        <f>IF(OR(LEFT(C4,1)="N",C4="Service Night"), SUM(C5:D11),"")</f>
        <v/>
      </c>
      <c r="D13" s="65"/>
      <c r="E13" s="64" t="str">
        <f t="shared" ref="E13" si="16">IF(OR(LEFT(E4,1)="N",E4="Service Night"), SUM(E5:F11),"")</f>
        <v/>
      </c>
      <c r="F13" s="65"/>
      <c r="G13" s="64" t="str">
        <f t="shared" ref="G13" si="17">IF(OR(LEFT(G4,1)="N",G4="Service Night"), SUM(G5:H11),"")</f>
        <v/>
      </c>
      <c r="H13" s="65"/>
      <c r="I13" s="64" t="str">
        <f t="shared" ref="I13" si="18">IF(OR(LEFT(I4,1)="N",I4="Service Night"), SUM(I5:J11),"")</f>
        <v/>
      </c>
      <c r="J13" s="65"/>
      <c r="K13" s="64" t="str">
        <f t="shared" ref="K13" si="19">IF(OR(LEFT(K4,1)="N",K4="Service Night"), SUM(K5:L11),"")</f>
        <v/>
      </c>
      <c r="L13" s="65"/>
      <c r="M13" s="64" t="str">
        <f t="shared" ref="M13" si="20">IF(OR(LEFT(M4,1)="N",M4="Service Night"), SUM(M5:N11),"")</f>
        <v/>
      </c>
      <c r="N13" s="65"/>
      <c r="O13" s="64" t="str">
        <f t="shared" ref="O13" si="21">IF(OR(LEFT(O4,1)="N",O4="Service Night"), SUM(O5:P11),"")</f>
        <v/>
      </c>
      <c r="P13" s="65"/>
      <c r="Q13" s="64" t="str">
        <f t="shared" ref="Q13" si="22">IF(OR(LEFT(Q4,1)="N",Q4="Service Night"), SUM(Q5:R11),"")</f>
        <v/>
      </c>
      <c r="R13" s="65"/>
      <c r="S13" s="64" t="str">
        <f t="shared" ref="S13" si="23">IF(OR(LEFT(S4,1)="N",S4="Service Night"), SUM(S5:T11),"")</f>
        <v/>
      </c>
      <c r="T13" s="65"/>
      <c r="U13" s="64" t="str">
        <f t="shared" ref="U13" si="24">IF(OR(LEFT(U4,1)="N",U4="Service Night"), SUM(U5:V11),"")</f>
        <v/>
      </c>
      <c r="V13" s="65"/>
      <c r="W13" s="64" t="str">
        <f t="shared" ref="W13" si="25">IF(OR(LEFT(W4,1)="N",W4="Service Night"), SUM(W5:X11),"")</f>
        <v/>
      </c>
      <c r="X13" s="65"/>
      <c r="Y13" s="64" t="str">
        <f t="shared" ref="Y13" si="26">IF(OR(LEFT(Y4,1)="N",Y4="Service Night"), SUM(Y5:Z11),"")</f>
        <v/>
      </c>
      <c r="Z13" s="65"/>
      <c r="AA13" s="64" t="str">
        <f t="shared" ref="AA13" si="27">IF(OR(LEFT(AA4,1)="N",AA4="Service Night"), SUM(AA5:AB11),"")</f>
        <v/>
      </c>
      <c r="AB13" s="65"/>
      <c r="AC13" s="64" t="str">
        <f t="shared" ref="AC13" si="28">IF(OR(LEFT(AC4,1)="N",AC4="Service Night"), SUM(AC5:AD11),"")</f>
        <v/>
      </c>
      <c r="AD13" s="65"/>
      <c r="AE13" s="64" t="str">
        <f t="shared" ref="AE13" si="29">IF(OR(LEFT(AE4,1)="N",AE4="Service Night"), SUM(AE5:AF11),"")</f>
        <v/>
      </c>
      <c r="AF13" s="65"/>
      <c r="AG13" s="64" t="str">
        <f t="shared" ref="AG13" si="30">IF(OR(LEFT(AG4,1)="N",AG4="Service Night"), SUM(AG5:AH11),"")</f>
        <v/>
      </c>
      <c r="AH13" s="65"/>
      <c r="AI13" s="16">
        <f>SUM(C13:AH13)</f>
        <v>0</v>
      </c>
      <c r="AJ13" s="12" t="s">
        <v>36</v>
      </c>
      <c r="AK13" s="61" t="str" cm="1">
        <f t="array" ref="AK13">IF(COUNT(_xlfn._xlws.FILTER(C15:V22,C15:V15="On Call"))*50=0,"",COUNT(_xlfn._xlws.FILTER(C15:V22,C15:V15="On Call"))*50)</f>
        <v/>
      </c>
      <c r="AL13" s="62"/>
    </row>
    <row r="14" spans="1:40" s="20" customFormat="1" ht="20.25" customHeight="1" x14ac:dyDescent="0.15">
      <c r="A14" s="19" t="s">
        <v>21</v>
      </c>
      <c r="B14" s="19"/>
      <c r="AB14" s="19"/>
    </row>
    <row r="15" spans="1:40" ht="75" customHeight="1" x14ac:dyDescent="0.15">
      <c r="A15" s="10" t="s">
        <v>3</v>
      </c>
      <c r="B15" s="24">
        <f>B4</f>
        <v>45788</v>
      </c>
      <c r="C15" s="34" t="s">
        <v>4</v>
      </c>
      <c r="D15" s="35" t="s">
        <v>29</v>
      </c>
      <c r="E15" s="34" t="s">
        <v>4</v>
      </c>
      <c r="F15" s="35" t="s">
        <v>29</v>
      </c>
      <c r="G15" s="34" t="s">
        <v>4</v>
      </c>
      <c r="H15" s="35" t="s">
        <v>29</v>
      </c>
      <c r="I15" s="34" t="s">
        <v>4</v>
      </c>
      <c r="J15" s="35" t="s">
        <v>29</v>
      </c>
      <c r="K15" s="34" t="s">
        <v>4</v>
      </c>
      <c r="L15" s="35" t="s">
        <v>29</v>
      </c>
      <c r="M15" s="34" t="s">
        <v>4</v>
      </c>
      <c r="N15" s="35" t="s">
        <v>29</v>
      </c>
      <c r="O15" s="34" t="s">
        <v>4</v>
      </c>
      <c r="P15" s="35" t="s">
        <v>29</v>
      </c>
      <c r="Q15" s="34" t="s">
        <v>4</v>
      </c>
      <c r="R15" s="35" t="s">
        <v>29</v>
      </c>
      <c r="S15" s="34" t="s">
        <v>4</v>
      </c>
      <c r="T15" s="35" t="s">
        <v>29</v>
      </c>
      <c r="U15" s="34" t="s">
        <v>4</v>
      </c>
      <c r="V15" s="35" t="s">
        <v>29</v>
      </c>
      <c r="W15" s="66" t="s">
        <v>22</v>
      </c>
      <c r="X15" s="67"/>
      <c r="Y15" s="66" t="s">
        <v>23</v>
      </c>
      <c r="Z15" s="67"/>
      <c r="AA15" s="7"/>
      <c r="AB15" s="68" t="s">
        <v>38</v>
      </c>
      <c r="AC15" s="68"/>
      <c r="AD15" s="68"/>
      <c r="AE15" s="68"/>
      <c r="AF15" s="68"/>
      <c r="AG15" s="68"/>
      <c r="AH15" s="68"/>
      <c r="AI15" s="68"/>
      <c r="AJ15" s="68"/>
      <c r="AK15" s="68"/>
      <c r="AL15" s="68"/>
    </row>
    <row r="16" spans="1:40" ht="20.25" customHeight="1" thickBot="1" x14ac:dyDescent="0.2">
      <c r="A16" s="3" t="s">
        <v>7</v>
      </c>
      <c r="B16" s="22">
        <f t="shared" ref="B16:B22" si="31">B5</f>
        <v>45788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70" cm="1">
        <f t="array" ref="W16">MIN(IFERROR(SUM(_xlfn._xlws.FILTER(C16:V16,ISNUMBER(C16:V16))),0), 4)</f>
        <v>0</v>
      </c>
      <c r="X16" s="71"/>
      <c r="Y16" s="72">
        <f>SUMIFS(C16:V16,C$15:V$15,"&lt;&gt;Labour Codes:")-W16</f>
        <v>0</v>
      </c>
      <c r="Z16" s="73"/>
      <c r="AB16" s="74" t="s">
        <v>40</v>
      </c>
      <c r="AC16" s="74"/>
      <c r="AD16" s="74"/>
      <c r="AE16" s="74"/>
      <c r="AF16" s="74"/>
      <c r="AG16" s="74"/>
      <c r="AH16" s="74"/>
      <c r="AN16" s="2"/>
    </row>
    <row r="17" spans="1:40" ht="20.25" customHeight="1" thickBot="1" x14ac:dyDescent="0.2">
      <c r="A17" s="3" t="s">
        <v>9</v>
      </c>
      <c r="B17" s="22">
        <f t="shared" si="31"/>
        <v>45789</v>
      </c>
      <c r="C17" s="75"/>
      <c r="D17" s="76"/>
      <c r="E17" s="75"/>
      <c r="F17" s="76"/>
      <c r="G17" s="75"/>
      <c r="H17" s="76"/>
      <c r="I17" s="75"/>
      <c r="J17" s="76"/>
      <c r="K17" s="75"/>
      <c r="L17" s="76"/>
      <c r="M17" s="75"/>
      <c r="N17" s="76"/>
      <c r="O17" s="75"/>
      <c r="P17" s="76"/>
      <c r="Q17" s="75"/>
      <c r="R17" s="76"/>
      <c r="S17" s="75"/>
      <c r="T17" s="76"/>
      <c r="U17" s="75"/>
      <c r="V17" s="76"/>
      <c r="W17" s="70" cm="1">
        <f t="array" ref="W17">MIN(IFERROR(SUM(_xlfn._xlws.FILTER(C17:V17,ISNUMBER(C17:V17))),0), 4)</f>
        <v>0</v>
      </c>
      <c r="X17" s="71"/>
      <c r="Y17" s="72">
        <f t="shared" ref="Y17:Y22" si="32">SUMIFS(C17:V17,C$15:V$15,"&lt;&gt;Labour Codes:")-W17</f>
        <v>0</v>
      </c>
      <c r="Z17" s="73"/>
      <c r="AB17" s="74"/>
      <c r="AC17" s="74"/>
      <c r="AD17" s="74"/>
      <c r="AE17" s="74"/>
      <c r="AF17" s="74"/>
      <c r="AG17" s="74"/>
      <c r="AH17" s="74"/>
      <c r="AJ17" s="50" t="s">
        <v>43</v>
      </c>
      <c r="AK17" s="51"/>
      <c r="AL17" s="52"/>
    </row>
    <row r="18" spans="1:40" ht="20.25" customHeight="1" x14ac:dyDescent="0.15">
      <c r="A18" s="3" t="s">
        <v>10</v>
      </c>
      <c r="B18" s="22">
        <f t="shared" si="31"/>
        <v>45790</v>
      </c>
      <c r="C18" s="75"/>
      <c r="D18" s="76"/>
      <c r="E18" s="75"/>
      <c r="F18" s="76"/>
      <c r="G18" s="75"/>
      <c r="H18" s="76"/>
      <c r="I18" s="75"/>
      <c r="J18" s="76"/>
      <c r="K18" s="75"/>
      <c r="L18" s="76"/>
      <c r="M18" s="75"/>
      <c r="N18" s="76"/>
      <c r="O18" s="75"/>
      <c r="P18" s="76"/>
      <c r="Q18" s="75"/>
      <c r="R18" s="76"/>
      <c r="S18" s="75"/>
      <c r="T18" s="76"/>
      <c r="U18" s="75"/>
      <c r="V18" s="76"/>
      <c r="W18" s="70" cm="1">
        <f t="array" ref="W18">MIN(IFERROR(SUM(_xlfn._xlws.FILTER(C18:V18,ISNUMBER(C18:V18))),0), 4)</f>
        <v>0</v>
      </c>
      <c r="X18" s="71"/>
      <c r="Y18" s="72">
        <f t="shared" si="32"/>
        <v>0</v>
      </c>
      <c r="Z18" s="73"/>
      <c r="AB18" s="74"/>
      <c r="AC18" s="74"/>
      <c r="AD18" s="74"/>
      <c r="AE18" s="74"/>
      <c r="AF18" s="74"/>
      <c r="AG18" s="74"/>
      <c r="AH18" s="74"/>
      <c r="AJ18" s="12" t="s">
        <v>11</v>
      </c>
      <c r="AK18" s="53" cm="1">
        <f t="array" ref="AK18">IFERROR(SUM(
    IF(ISNUMBER('Week 1'!AK6:AL6),'Week 1'!AK6:AL6,0),
    IF(ISNUMBER('Week 2'!AK6),'Week 2'!AK6,0)
),"")</f>
        <v>0</v>
      </c>
      <c r="AL18" s="54"/>
    </row>
    <row r="19" spans="1:40" ht="20.25" customHeight="1" x14ac:dyDescent="0.15">
      <c r="A19" s="3" t="s">
        <v>12</v>
      </c>
      <c r="B19" s="22">
        <f t="shared" si="31"/>
        <v>45791</v>
      </c>
      <c r="C19" s="75"/>
      <c r="D19" s="76"/>
      <c r="E19" s="75"/>
      <c r="F19" s="76"/>
      <c r="G19" s="75"/>
      <c r="H19" s="76"/>
      <c r="I19" s="75"/>
      <c r="J19" s="76"/>
      <c r="K19" s="75"/>
      <c r="L19" s="76"/>
      <c r="M19" s="75"/>
      <c r="N19" s="76"/>
      <c r="O19" s="75"/>
      <c r="P19" s="76"/>
      <c r="Q19" s="75"/>
      <c r="R19" s="76"/>
      <c r="S19" s="75"/>
      <c r="T19" s="76"/>
      <c r="U19" s="75"/>
      <c r="V19" s="76"/>
      <c r="W19" s="70" cm="1">
        <f t="array" ref="W19">MIN(IFERROR(SUM(_xlfn._xlws.FILTER(C19:V19,ISNUMBER(C19:V19))),0), 4)</f>
        <v>0</v>
      </c>
      <c r="X19" s="71"/>
      <c r="Y19" s="72">
        <f t="shared" si="32"/>
        <v>0</v>
      </c>
      <c r="Z19" s="73"/>
      <c r="AB19" s="74"/>
      <c r="AC19" s="74"/>
      <c r="AD19" s="74"/>
      <c r="AE19" s="74"/>
      <c r="AF19" s="74"/>
      <c r="AG19" s="74"/>
      <c r="AH19" s="74"/>
      <c r="AJ19" s="12" t="s">
        <v>13</v>
      </c>
      <c r="AK19" s="53">
        <f>'Week 1'!AK7:AL7+AK7</f>
        <v>0</v>
      </c>
      <c r="AL19" s="54"/>
    </row>
    <row r="20" spans="1:40" ht="20.25" customHeight="1" x14ac:dyDescent="0.15">
      <c r="A20" s="3" t="s">
        <v>14</v>
      </c>
      <c r="B20" s="22">
        <f t="shared" si="31"/>
        <v>45792</v>
      </c>
      <c r="C20" s="75"/>
      <c r="D20" s="76"/>
      <c r="E20" s="75"/>
      <c r="F20" s="76"/>
      <c r="G20" s="75"/>
      <c r="H20" s="76"/>
      <c r="I20" s="75"/>
      <c r="J20" s="76"/>
      <c r="K20" s="75"/>
      <c r="L20" s="76"/>
      <c r="M20" s="75"/>
      <c r="N20" s="76"/>
      <c r="O20" s="75"/>
      <c r="P20" s="76"/>
      <c r="Q20" s="75"/>
      <c r="R20" s="76"/>
      <c r="S20" s="75"/>
      <c r="T20" s="76"/>
      <c r="U20" s="75"/>
      <c r="V20" s="76"/>
      <c r="W20" s="70" cm="1">
        <f t="array" ref="W20">MIN(IFERROR(SUM(_xlfn._xlws.FILTER(C20:V20,ISNUMBER(C20:V20))),0), 4)</f>
        <v>0</v>
      </c>
      <c r="X20" s="71"/>
      <c r="Y20" s="72">
        <f t="shared" si="32"/>
        <v>0</v>
      </c>
      <c r="Z20" s="73"/>
      <c r="AB20" s="74"/>
      <c r="AC20" s="74"/>
      <c r="AD20" s="74"/>
      <c r="AE20" s="74"/>
      <c r="AF20" s="74"/>
      <c r="AG20" s="74"/>
      <c r="AH20" s="74"/>
      <c r="AJ20" s="12" t="s">
        <v>15</v>
      </c>
      <c r="AK20" s="53">
        <f>'Week 1'!AK8:AL8+AK8</f>
        <v>0</v>
      </c>
      <c r="AL20" s="54"/>
    </row>
    <row r="21" spans="1:40" ht="20.25" customHeight="1" x14ac:dyDescent="0.15">
      <c r="A21" s="3" t="s">
        <v>16</v>
      </c>
      <c r="B21" s="22">
        <f t="shared" si="31"/>
        <v>45793</v>
      </c>
      <c r="C21" s="75"/>
      <c r="D21" s="76"/>
      <c r="E21" s="75"/>
      <c r="F21" s="76"/>
      <c r="G21" s="75"/>
      <c r="H21" s="76"/>
      <c r="I21" s="75"/>
      <c r="J21" s="76"/>
      <c r="K21" s="75"/>
      <c r="L21" s="76"/>
      <c r="M21" s="75"/>
      <c r="N21" s="76"/>
      <c r="O21" s="75"/>
      <c r="P21" s="76"/>
      <c r="Q21" s="75"/>
      <c r="R21" s="76"/>
      <c r="S21" s="75"/>
      <c r="T21" s="76"/>
      <c r="U21" s="75"/>
      <c r="V21" s="76"/>
      <c r="W21" s="70" cm="1">
        <f t="array" ref="W21">MIN(IFERROR(SUM(_xlfn._xlws.FILTER(C21:V21,ISNUMBER(C21:V21))),0), 4)</f>
        <v>0</v>
      </c>
      <c r="X21" s="71"/>
      <c r="Y21" s="72">
        <f t="shared" si="32"/>
        <v>0</v>
      </c>
      <c r="Z21" s="73"/>
      <c r="AB21" s="74"/>
      <c r="AC21" s="74"/>
      <c r="AD21" s="74"/>
      <c r="AE21" s="74"/>
      <c r="AF21" s="74"/>
      <c r="AG21" s="74"/>
      <c r="AH21" s="74"/>
      <c r="AJ21" s="12" t="s">
        <v>42</v>
      </c>
      <c r="AK21" s="36" t="str">
        <f>IF(SUM('Week 1'!AK9,'Week 2'!AK9)=0,"",SUM('Week 1'!AK9,'Week 2'!AK9))</f>
        <v/>
      </c>
      <c r="AL21" s="37"/>
      <c r="AN21" s="30"/>
    </row>
    <row r="22" spans="1:40" ht="20.25" customHeight="1" thickBot="1" x14ac:dyDescent="0.2">
      <c r="A22" s="6" t="s">
        <v>18</v>
      </c>
      <c r="B22" s="22">
        <f t="shared" si="31"/>
        <v>45794</v>
      </c>
      <c r="C22" s="94"/>
      <c r="D22" s="95"/>
      <c r="E22" s="94"/>
      <c r="F22" s="95"/>
      <c r="G22" s="94"/>
      <c r="H22" s="95"/>
      <c r="I22" s="75"/>
      <c r="J22" s="76"/>
      <c r="K22" s="78"/>
      <c r="L22" s="79"/>
      <c r="M22" s="78"/>
      <c r="N22" s="79"/>
      <c r="O22" s="78"/>
      <c r="P22" s="79"/>
      <c r="Q22" s="78"/>
      <c r="R22" s="79"/>
      <c r="S22" s="78"/>
      <c r="T22" s="79"/>
      <c r="U22" s="78"/>
      <c r="V22" s="79"/>
      <c r="W22" s="70" cm="1">
        <f t="array" ref="W22">MIN(IFERROR(SUM(_xlfn._xlws.FILTER(C22:V22,ISNUMBER(C22:V22))),0), 4)</f>
        <v>0</v>
      </c>
      <c r="X22" s="71"/>
      <c r="Y22" s="72">
        <f t="shared" si="32"/>
        <v>0</v>
      </c>
      <c r="Z22" s="73"/>
      <c r="AB22" s="74"/>
      <c r="AC22" s="74"/>
      <c r="AD22" s="74"/>
      <c r="AE22" s="74"/>
      <c r="AF22" s="74"/>
      <c r="AG22" s="74"/>
      <c r="AH22" s="74"/>
      <c r="AJ22" s="12" t="s">
        <v>17</v>
      </c>
      <c r="AK22" s="53">
        <f>'Week 1'!AK10:AL10+AK10</f>
        <v>0</v>
      </c>
      <c r="AL22" s="54"/>
      <c r="AM22" s="29"/>
    </row>
    <row r="23" spans="1:40" ht="20.25" customHeight="1" x14ac:dyDescent="0.15">
      <c r="A23" s="89" t="s">
        <v>34</v>
      </c>
      <c r="B23" s="89"/>
      <c r="C23" s="83" t="str">
        <f>IF(AND(LEFT(C15,1) &lt;&gt; "N",LEFT(C15,3) &lt;&gt; "Lab"),SUM(C16:D22),"")</f>
        <v/>
      </c>
      <c r="D23" s="84"/>
      <c r="E23" s="83" t="str">
        <f>IF(AND(LEFT(E15,1) &lt;&gt; "N",LEFT(E15,3) &lt;&gt; "Lab"),SUM(E16:F22),"")</f>
        <v/>
      </c>
      <c r="F23" s="84"/>
      <c r="G23" s="83" t="str">
        <f>IF(AND(LEFT(G15,1) &lt;&gt; "N",LEFT(G15,3) &lt;&gt; "Lab"),SUM(G16:H22),"")</f>
        <v/>
      </c>
      <c r="H23" s="84"/>
      <c r="I23" s="83" t="str">
        <f>IF(AND(LEFT(I15,1) &lt;&gt; "N",LEFT(I15,3) &lt;&gt; "Lab"),SUM(I16:J22),"")</f>
        <v/>
      </c>
      <c r="J23" s="84"/>
      <c r="K23" s="83" t="str">
        <f>IF(AND(LEFT(K15,1) &lt;&gt; "N",LEFT(K15,3) &lt;&gt; "Lab"),SUM(K16:L22),"")</f>
        <v/>
      </c>
      <c r="L23" s="84"/>
      <c r="M23" s="83" t="str">
        <f>IF(AND(LEFT(M15,1) &lt;&gt; "N",LEFT(M15,3) &lt;&gt; "Lab"),SUM(M16:N22),"")</f>
        <v/>
      </c>
      <c r="N23" s="84"/>
      <c r="O23" s="83" t="str">
        <f>IF(AND(LEFT(O15,1) &lt;&gt; "N",LEFT(O15,3) &lt;&gt; "Lab"),SUM(O16:P22),"")</f>
        <v/>
      </c>
      <c r="P23" s="84"/>
      <c r="Q23" s="83" t="str">
        <f>IF(AND(LEFT(Q15,1) &lt;&gt; "N",LEFT(Q15,3) &lt;&gt; "Lab"),SUM(Q16:R22),"")</f>
        <v/>
      </c>
      <c r="R23" s="84"/>
      <c r="S23" s="83" t="str">
        <f>IF(AND(LEFT(S15,1) &lt;&gt; "N",LEFT(S15,3) &lt;&gt; "Lab"),SUM(S16:T22),"")</f>
        <v/>
      </c>
      <c r="T23" s="84"/>
      <c r="U23" s="83" t="str">
        <f>IF(AND(LEFT(U15,1) &lt;&gt; "N",LEFT(U15,3) &lt;&gt; "Lab"),SUM(U16:V22),"")</f>
        <v/>
      </c>
      <c r="V23" s="84"/>
      <c r="W23" s="81">
        <f>SUM(W16:X22)</f>
        <v>0</v>
      </c>
      <c r="X23" s="82"/>
      <c r="Y23" s="81">
        <f>SUM(Y16:Z22)</f>
        <v>0</v>
      </c>
      <c r="Z23" s="82"/>
      <c r="AA23" s="8"/>
      <c r="AB23" s="74"/>
      <c r="AC23" s="74"/>
      <c r="AD23" s="74"/>
      <c r="AE23" s="74"/>
      <c r="AF23" s="74"/>
      <c r="AG23" s="74"/>
      <c r="AH23" s="74"/>
      <c r="AI23" s="30"/>
      <c r="AJ23" s="12" t="s">
        <v>41</v>
      </c>
      <c r="AK23" s="90" t="str">
        <f>IF(SUM('Week 1'!AK11:AL11, AK11)=0, "", SUM('Week 1'!AK11:AL11, AK11))</f>
        <v/>
      </c>
      <c r="AL23" s="91"/>
      <c r="AM23" s="27"/>
    </row>
    <row r="24" spans="1:40" ht="20.25" customHeight="1" x14ac:dyDescent="0.15">
      <c r="A24" s="87" t="s">
        <v>24</v>
      </c>
      <c r="B24" s="88"/>
      <c r="C24" s="87"/>
      <c r="D24" s="88"/>
      <c r="E24" s="87"/>
      <c r="F24" s="88"/>
      <c r="G24" s="87"/>
      <c r="H24" s="88"/>
      <c r="I24" s="87"/>
      <c r="J24" s="88"/>
      <c r="K24" s="87"/>
      <c r="L24" s="88"/>
      <c r="M24" s="87"/>
      <c r="N24" s="88"/>
      <c r="O24" s="87"/>
      <c r="P24" s="88"/>
      <c r="Q24" s="87"/>
      <c r="R24" s="88"/>
      <c r="S24" s="87"/>
      <c r="T24" s="88"/>
      <c r="U24" s="87"/>
      <c r="V24" s="88"/>
      <c r="W24" s="87"/>
      <c r="X24" s="88"/>
      <c r="Y24" s="87"/>
      <c r="Z24" s="88"/>
      <c r="AB24" s="74"/>
      <c r="AC24" s="74"/>
      <c r="AD24" s="74"/>
      <c r="AE24" s="74"/>
      <c r="AF24" s="74"/>
      <c r="AG24" s="74"/>
      <c r="AH24" s="74"/>
      <c r="AJ24" s="12" t="s">
        <v>33</v>
      </c>
      <c r="AK24" s="98" t="str">
        <f>IFERROR(
  IF(
    IF('Week 1'!AK12="",0,'Week 1'!AK12) + IF(AK12="",0,AK12)=0,
    "",
    IF('Week 1'!AK12="",0,'Week 1'!AK12) + IF(AK12="",0,AK12)
  ),
  ""
)</f>
        <v/>
      </c>
      <c r="AL24" s="99"/>
    </row>
    <row r="25" spans="1:40" ht="20.25" customHeight="1" thickBot="1" x14ac:dyDescent="0.2">
      <c r="A25" s="31" t="s">
        <v>25</v>
      </c>
      <c r="B25" s="31"/>
      <c r="C25" s="31"/>
      <c r="D25" s="31"/>
      <c r="E25" s="31"/>
      <c r="F25" s="31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1"/>
      <c r="W25" s="31"/>
      <c r="X25" s="31"/>
      <c r="Y25" s="31"/>
      <c r="Z25" s="31"/>
      <c r="AA25" s="31"/>
      <c r="AB25" s="74"/>
      <c r="AC25" s="74"/>
      <c r="AD25" s="74"/>
      <c r="AE25" s="74"/>
      <c r="AF25" s="74"/>
      <c r="AG25" s="74"/>
      <c r="AH25" s="74"/>
      <c r="AJ25" s="14" t="s">
        <v>36</v>
      </c>
      <c r="AK25" s="96" t="str">
        <f>IFERROR(
  IF(
    IF('Week 1'!AK13="",0,'Week 1'!AK13) + IF(AK13="",0,AK13)=0,
    "",
    IF('Week 1'!AK13="",0,'Week 1'!AK13) + IF(AK13="",0,AK13)
  ),
  ""
)</f>
        <v/>
      </c>
      <c r="AL25" s="97"/>
    </row>
    <row r="26" spans="1:40" x14ac:dyDescent="0.15">
      <c r="A26" s="80" t="s">
        <v>26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74"/>
      <c r="AC26" s="74"/>
      <c r="AD26" s="74"/>
      <c r="AE26" s="74"/>
      <c r="AF26" s="74"/>
      <c r="AG26" s="74"/>
      <c r="AH26" s="74"/>
    </row>
    <row r="27" spans="1:40" x14ac:dyDescent="0.15">
      <c r="A27" s="80" t="s">
        <v>30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74"/>
      <c r="AC27" s="74"/>
      <c r="AD27" s="74"/>
      <c r="AE27" s="74"/>
      <c r="AF27" s="74"/>
      <c r="AG27" s="74"/>
      <c r="AH27" s="74"/>
    </row>
    <row r="28" spans="1:40" ht="13" customHeight="1" x14ac:dyDescent="0.15">
      <c r="A28" s="80" t="s">
        <v>31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 t="s">
        <v>39</v>
      </c>
      <c r="AC28" s="80"/>
      <c r="AD28" s="80"/>
      <c r="AE28" s="80"/>
      <c r="AF28" s="80"/>
      <c r="AG28" s="80"/>
      <c r="AH28" s="80"/>
      <c r="AI28" s="80"/>
      <c r="AJ28" s="80"/>
      <c r="AK28" s="80"/>
      <c r="AL28" s="80"/>
    </row>
    <row r="29" spans="1:40" x14ac:dyDescent="0.15">
      <c r="A29" s="80" t="s">
        <v>32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</row>
    <row r="30" spans="1:40" x14ac:dyDescent="0.15">
      <c r="A30" s="80" t="s">
        <v>37</v>
      </c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28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eoNp9Jd/afHRrEqe0UOmj9ynZdp56l8sDebcNAfax/k5x1EACr61OIs+Hwjn/ip0PUhdHAYelItA35UI6MpfVA==" saltValue="oB9eXRXUpPT97Wo6CTWCFw==" spinCount="100000" sheet="1" selectLockedCells="1"/>
  <dataConsolidate/>
  <mergeCells count="291">
    <mergeCell ref="AG5:AH5"/>
    <mergeCell ref="AG6:AH6"/>
    <mergeCell ref="AG7:AH7"/>
    <mergeCell ref="AG8:AH8"/>
    <mergeCell ref="AG9:AH9"/>
    <mergeCell ref="AG10:AH10"/>
    <mergeCell ref="AG11:AH11"/>
    <mergeCell ref="AC5:AD5"/>
    <mergeCell ref="AC6:AD6"/>
    <mergeCell ref="AC7:AD7"/>
    <mergeCell ref="AC8:AD8"/>
    <mergeCell ref="AC9:AD9"/>
    <mergeCell ref="AC10:AD10"/>
    <mergeCell ref="AC11:AD11"/>
    <mergeCell ref="AE5:AF5"/>
    <mergeCell ref="AE6:AF6"/>
    <mergeCell ref="AE7:AF7"/>
    <mergeCell ref="AE8:AF8"/>
    <mergeCell ref="AE9:AF9"/>
    <mergeCell ref="AE10:AF10"/>
    <mergeCell ref="AE11:AF11"/>
    <mergeCell ref="Y5:Z5"/>
    <mergeCell ref="Y6:Z6"/>
    <mergeCell ref="Y7:Z7"/>
    <mergeCell ref="Y8:Z8"/>
    <mergeCell ref="Y9:Z9"/>
    <mergeCell ref="Y10:Z10"/>
    <mergeCell ref="Y11:Z11"/>
    <mergeCell ref="AA5:AB5"/>
    <mergeCell ref="AA6:AB6"/>
    <mergeCell ref="AA7:AB7"/>
    <mergeCell ref="AA8:AB8"/>
    <mergeCell ref="AA9:AB9"/>
    <mergeCell ref="AA10:AB10"/>
    <mergeCell ref="AA11:AB11"/>
    <mergeCell ref="U5:V5"/>
    <mergeCell ref="U6:V6"/>
    <mergeCell ref="U7:V7"/>
    <mergeCell ref="U8:V8"/>
    <mergeCell ref="U9:V9"/>
    <mergeCell ref="U10:V10"/>
    <mergeCell ref="U11:V11"/>
    <mergeCell ref="W5:X5"/>
    <mergeCell ref="W6:X6"/>
    <mergeCell ref="W7:X7"/>
    <mergeCell ref="W8:X8"/>
    <mergeCell ref="W9:X9"/>
    <mergeCell ref="W10:X10"/>
    <mergeCell ref="W11:X11"/>
    <mergeCell ref="Q5:R5"/>
    <mergeCell ref="Q6:R6"/>
    <mergeCell ref="Q7:R7"/>
    <mergeCell ref="Q8:R8"/>
    <mergeCell ref="Q9:R9"/>
    <mergeCell ref="Q10:R10"/>
    <mergeCell ref="Q11:R11"/>
    <mergeCell ref="S5:T5"/>
    <mergeCell ref="S6:T6"/>
    <mergeCell ref="S7:T7"/>
    <mergeCell ref="S8:T8"/>
    <mergeCell ref="S9:T9"/>
    <mergeCell ref="S10:T10"/>
    <mergeCell ref="S11:T11"/>
    <mergeCell ref="M5:N5"/>
    <mergeCell ref="M6:N6"/>
    <mergeCell ref="M7:N7"/>
    <mergeCell ref="M8:N8"/>
    <mergeCell ref="M9:N9"/>
    <mergeCell ref="M10:N10"/>
    <mergeCell ref="M11:N11"/>
    <mergeCell ref="O5:P5"/>
    <mergeCell ref="O6:P6"/>
    <mergeCell ref="O7:P7"/>
    <mergeCell ref="O8:P8"/>
    <mergeCell ref="O9:P9"/>
    <mergeCell ref="O10:P10"/>
    <mergeCell ref="O11:P11"/>
    <mergeCell ref="I5:J5"/>
    <mergeCell ref="I6:J6"/>
    <mergeCell ref="I7:J7"/>
    <mergeCell ref="I8:J8"/>
    <mergeCell ref="I9:J9"/>
    <mergeCell ref="I10:J10"/>
    <mergeCell ref="I11:J11"/>
    <mergeCell ref="K5:L5"/>
    <mergeCell ref="K6:L6"/>
    <mergeCell ref="K7:L7"/>
    <mergeCell ref="K8:L8"/>
    <mergeCell ref="K9:L9"/>
    <mergeCell ref="K10:L10"/>
    <mergeCell ref="K11:L11"/>
    <mergeCell ref="E11:F11"/>
    <mergeCell ref="G5:H5"/>
    <mergeCell ref="G6:H6"/>
    <mergeCell ref="G7:H7"/>
    <mergeCell ref="G8:H8"/>
    <mergeCell ref="G9:H9"/>
    <mergeCell ref="G10:H10"/>
    <mergeCell ref="G11:H11"/>
    <mergeCell ref="C11:D11"/>
    <mergeCell ref="C5:D5"/>
    <mergeCell ref="C6:D6"/>
    <mergeCell ref="C7:D7"/>
    <mergeCell ref="C8:D8"/>
    <mergeCell ref="C9:D9"/>
    <mergeCell ref="C10:D10"/>
    <mergeCell ref="E5:F5"/>
    <mergeCell ref="E6:F6"/>
    <mergeCell ref="E7:F7"/>
    <mergeCell ref="E8:F8"/>
    <mergeCell ref="E9:F9"/>
    <mergeCell ref="E10:F10"/>
    <mergeCell ref="A30:AA30"/>
    <mergeCell ref="AK25:AL25"/>
    <mergeCell ref="W24:X24"/>
    <mergeCell ref="Y24:Z24"/>
    <mergeCell ref="AK24:AL24"/>
    <mergeCell ref="A26:AA26"/>
    <mergeCell ref="A27:AA27"/>
    <mergeCell ref="A28:AA28"/>
    <mergeCell ref="AB28:AL29"/>
    <mergeCell ref="K24:L24"/>
    <mergeCell ref="M24:N24"/>
    <mergeCell ref="O24:P24"/>
    <mergeCell ref="K23:L23"/>
    <mergeCell ref="M23:N23"/>
    <mergeCell ref="O23:P23"/>
    <mergeCell ref="Q24:R24"/>
    <mergeCell ref="A29:AA29"/>
    <mergeCell ref="W23:X23"/>
    <mergeCell ref="Y23:Z23"/>
    <mergeCell ref="A24:B24"/>
    <mergeCell ref="C24:D24"/>
    <mergeCell ref="E24:F24"/>
    <mergeCell ref="G24:H24"/>
    <mergeCell ref="I24:J24"/>
    <mergeCell ref="S24:T24"/>
    <mergeCell ref="U24:V24"/>
    <mergeCell ref="A23:B23"/>
    <mergeCell ref="C23:D23"/>
    <mergeCell ref="E23:F23"/>
    <mergeCell ref="G23:H23"/>
    <mergeCell ref="I23:J23"/>
    <mergeCell ref="Q23:R23"/>
    <mergeCell ref="S23:T23"/>
    <mergeCell ref="U23:V23"/>
    <mergeCell ref="Q22:R22"/>
    <mergeCell ref="S22:T22"/>
    <mergeCell ref="U22:V22"/>
    <mergeCell ref="U21:V21"/>
    <mergeCell ref="W21:X21"/>
    <mergeCell ref="Y21:Z21"/>
    <mergeCell ref="C22:D22"/>
    <mergeCell ref="E22:F22"/>
    <mergeCell ref="G22:H22"/>
    <mergeCell ref="I22:J22"/>
    <mergeCell ref="K22:L22"/>
    <mergeCell ref="M22:N22"/>
    <mergeCell ref="O22:P22"/>
    <mergeCell ref="W22:X22"/>
    <mergeCell ref="Y22:Z22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19:V19"/>
    <mergeCell ref="W19:X19"/>
    <mergeCell ref="Y19:Z19"/>
    <mergeCell ref="C20:D20"/>
    <mergeCell ref="E20:F20"/>
    <mergeCell ref="G20:H20"/>
    <mergeCell ref="I20:J20"/>
    <mergeCell ref="K20:L20"/>
    <mergeCell ref="M20:N20"/>
    <mergeCell ref="O20:P20"/>
    <mergeCell ref="Q20:R20"/>
    <mergeCell ref="S20:T20"/>
    <mergeCell ref="U20:V20"/>
    <mergeCell ref="W20:X20"/>
    <mergeCell ref="Y20:Z20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M18:N18"/>
    <mergeCell ref="O18:P18"/>
    <mergeCell ref="Q18:R18"/>
    <mergeCell ref="S18:T18"/>
    <mergeCell ref="U18:V18"/>
    <mergeCell ref="W18:X18"/>
    <mergeCell ref="Y18:Z18"/>
    <mergeCell ref="C17:D17"/>
    <mergeCell ref="E17:F17"/>
    <mergeCell ref="G17:H17"/>
    <mergeCell ref="I17:J17"/>
    <mergeCell ref="K17:L17"/>
    <mergeCell ref="M17:N17"/>
    <mergeCell ref="O17:P17"/>
    <mergeCell ref="Q17:R17"/>
    <mergeCell ref="S17:T17"/>
    <mergeCell ref="W15:X15"/>
    <mergeCell ref="Y15:Z15"/>
    <mergeCell ref="AB15:AL15"/>
    <mergeCell ref="C16:D16"/>
    <mergeCell ref="E16:F16"/>
    <mergeCell ref="G16:H16"/>
    <mergeCell ref="I16:J16"/>
    <mergeCell ref="K16:L16"/>
    <mergeCell ref="M16:N16"/>
    <mergeCell ref="O16:P16"/>
    <mergeCell ref="Q16:R16"/>
    <mergeCell ref="S16:T16"/>
    <mergeCell ref="U16:V16"/>
    <mergeCell ref="W16:X16"/>
    <mergeCell ref="Y16:Z16"/>
    <mergeCell ref="AB16:AH27"/>
    <mergeCell ref="U17:V17"/>
    <mergeCell ref="W17:X17"/>
    <mergeCell ref="Y17:Z17"/>
    <mergeCell ref="C18:D18"/>
    <mergeCell ref="E18:F18"/>
    <mergeCell ref="G18:H18"/>
    <mergeCell ref="I18:J18"/>
    <mergeCell ref="K18:L18"/>
    <mergeCell ref="Y13:Z13"/>
    <mergeCell ref="AA13:AB13"/>
    <mergeCell ref="AC13:AD13"/>
    <mergeCell ref="AE13:AF13"/>
    <mergeCell ref="AG13:AH13"/>
    <mergeCell ref="A12:B12"/>
    <mergeCell ref="C12:D12"/>
    <mergeCell ref="E12:F12"/>
    <mergeCell ref="G12:H12"/>
    <mergeCell ref="AK23:AL23"/>
    <mergeCell ref="J2:L2"/>
    <mergeCell ref="M2:Y2"/>
    <mergeCell ref="AJ2:AL2"/>
    <mergeCell ref="A3:B3"/>
    <mergeCell ref="AJ3:AL3"/>
    <mergeCell ref="AJ4:AL4"/>
    <mergeCell ref="AJ5:AL5"/>
    <mergeCell ref="AK6:AL6"/>
    <mergeCell ref="AK7:AL7"/>
    <mergeCell ref="AK8:AL8"/>
    <mergeCell ref="AK9:AL9"/>
    <mergeCell ref="AK10:AL10"/>
    <mergeCell ref="I12:J12"/>
    <mergeCell ref="AC12:AD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AK21:AL21"/>
    <mergeCell ref="AJ17:AL17"/>
    <mergeCell ref="AK13:AL13"/>
    <mergeCell ref="AK11:AL11"/>
    <mergeCell ref="A1:G2"/>
    <mergeCell ref="AK19:AL19"/>
    <mergeCell ref="AK20:AL20"/>
    <mergeCell ref="AK22:AL22"/>
    <mergeCell ref="AK18:AL18"/>
    <mergeCell ref="AE12:AF12"/>
    <mergeCell ref="AG12:AH12"/>
    <mergeCell ref="AK12:AL12"/>
    <mergeCell ref="A13:B13"/>
    <mergeCell ref="C13:D13"/>
    <mergeCell ref="E13:F13"/>
    <mergeCell ref="G13:H13"/>
    <mergeCell ref="I13:J13"/>
    <mergeCell ref="K13:L13"/>
    <mergeCell ref="M13:N13"/>
    <mergeCell ref="O13:P13"/>
    <mergeCell ref="Q13:R13"/>
    <mergeCell ref="S13:T13"/>
    <mergeCell ref="U13:V13"/>
    <mergeCell ref="W13:X13"/>
  </mergeCells>
  <pageMargins left="0.12" right="0.12" top="0" bottom="0" header="0" footer="0"/>
  <pageSetup scale="80" orientation="landscape" horizontalDpi="300" verticalDpi="300" r:id="rId1"/>
  <headerFooter alignWithMargins="0">
    <oddFooter>&amp;L&amp;"Arial Italic,Italic"&amp;11&amp;K000000Submit Time Card weekly, no later than Sunday 8 PM. EMAIL this form TO:  timecard@logicalgroup.ca. All On Call work orders must be submitted by Monday 730AM.</oddFooter>
  </headerFooter>
  <ignoredErrors>
    <ignoredError sqref="B5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6534862DC694479B0572329173BBC2" ma:contentTypeVersion="18" ma:contentTypeDescription="Create a new document." ma:contentTypeScope="" ma:versionID="65fd173cda83db20e052bbcc16b63841">
  <xsd:schema xmlns:xsd="http://www.w3.org/2001/XMLSchema" xmlns:xs="http://www.w3.org/2001/XMLSchema" xmlns:p="http://schemas.microsoft.com/office/2006/metadata/properties" xmlns:ns2="5b7fb45f-624a-402e-a61b-8cff240b5443" xmlns:ns3="2abe11c3-ce01-45fc-8d0d-7811c0787c60" targetNamespace="http://schemas.microsoft.com/office/2006/metadata/properties" ma:root="true" ma:fieldsID="6202e8ae72255dce2a6e918d630ca1e5" ns2:_="" ns3:_="">
    <xsd:import namespace="5b7fb45f-624a-402e-a61b-8cff240b5443"/>
    <xsd:import namespace="2abe11c3-ce01-45fc-8d0d-7811c0787c6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7fb45f-624a-402e-a61b-8cff240b5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f30c371-288b-4d2f-b6d4-254b35045e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be11c3-ce01-45fc-8d0d-7811c0787c60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22b0391-f907-45f7-8822-ad3d4a0ec1e8}" ma:internalName="TaxCatchAll" ma:showField="CatchAllData" ma:web="2abe11c3-ce01-45fc-8d0d-7811c0787c6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0CCF70-E329-433E-9B5F-4DD5C88D19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EBB85E-9035-496A-B995-1E2F299436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7fb45f-624a-402e-a61b-8cff240b5443"/>
    <ds:schemaRef ds:uri="2abe11c3-ce01-45fc-8d0d-7811c0787c6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Macintosh Excel</Application>
  <DocSecurity>2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Manager/>
  <Company>Logical Solutions</Company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Leath Aronius</dc:creator>
  <cp:keywords/>
  <dc:description/>
  <cp:lastModifiedBy>Geoff Strench</cp:lastModifiedBy>
  <cp:revision>1</cp:revision>
  <cp:lastPrinted>2025-09-08T18:51:00Z</cp:lastPrinted>
  <dcterms:created xsi:type="dcterms:W3CDTF">2002-05-15T02:28:34Z</dcterms:created>
  <dcterms:modified xsi:type="dcterms:W3CDTF">2025-11-13T20:19:58Z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